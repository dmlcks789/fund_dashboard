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192.168.6.142\LnS Server\공_L&amp;S조합\@LP관리\부산시\2026년\"/>
    </mc:Choice>
  </mc:AlternateContent>
  <xr:revisionPtr revIDLastSave="0" documentId="13_ncr:1_{2CAC1F60-B938-423D-A4B7-7E7B520DE10C}" xr6:coauthVersionLast="47" xr6:coauthVersionMax="47" xr10:uidLastSave="{00000000-0000-0000-0000-000000000000}"/>
  <bookViews>
    <workbookView xWindow="28680" yWindow="-120" windowWidth="29040" windowHeight="15720" xr2:uid="{3A3F3811-72D6-4C55-8F28-E69C0D53C166}"/>
  </bookViews>
  <sheets>
    <sheet name="펀드 조합현황" sheetId="10" r:id="rId1"/>
    <sheet name="피투자기업 현황" sheetId="11" r:id="rId2"/>
    <sheet name="참고자료" sheetId="12" r:id="rId3"/>
    <sheet name="Sheet1" sheetId="13" r:id="rId4"/>
  </sheets>
  <definedNames>
    <definedName name="_xlnm._FilterDatabase" localSheetId="1" hidden="1">'피투자기업 현황'!#REF!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Z9" i="11" l="1"/>
  <c r="BZ10" i="11"/>
  <c r="BZ11" i="11"/>
  <c r="BZ12" i="11"/>
  <c r="BZ8" i="11"/>
  <c r="BR9" i="11"/>
  <c r="BR10" i="11"/>
  <c r="BR11" i="11"/>
  <c r="BR12" i="11"/>
  <c r="BR8" i="11"/>
  <c r="BF9" i="11"/>
  <c r="BF10" i="11"/>
  <c r="BF11" i="11"/>
  <c r="BF12" i="11"/>
  <c r="BF8" i="11"/>
  <c r="AH12" i="11" l="1"/>
  <c r="AH11" i="11"/>
  <c r="AH10" i="11"/>
  <c r="AH9" i="11"/>
  <c r="AH8" i="11"/>
  <c r="H12" i="1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jeson</author>
    <author>tc={2BFDD971-B46A-47AD-8591-76F96F9A1E23}</author>
    <author>tc={31C8428E-AF2C-4A7D-8850-D43313405BA2}</author>
    <author>tc={7795F868-C3C4-417E-BAED-F7CCB5B036AE}</author>
    <author>tc={9D585C53-B848-49FE-9D35-1F1F653B6C45}</author>
    <author>tc={6E3A3883-0C53-43A8-9C10-30ACE75E3FB5}</author>
  </authors>
  <commentList>
    <comment ref="M7" authorId="0" shapeId="0" xr:uid="{5B18C7A0-AF50-4786-96F3-61ADB715DD7D}">
      <text>
        <r>
          <rPr>
            <b/>
            <sz val="9"/>
            <color indexed="81"/>
            <rFont val="맑은 고딕"/>
            <family val="3"/>
            <charset val="129"/>
            <scheme val="minor"/>
          </rPr>
          <t xml:space="preserve">한국표준산업분류 대분류(11차)
</t>
        </r>
        <r>
          <rPr>
            <sz val="9"/>
            <color indexed="81"/>
            <rFont val="맑은 고딕"/>
            <family val="3"/>
            <charset val="129"/>
            <scheme val="minor"/>
          </rPr>
          <t>01. 농업, 임업, 어업
02. 광업
03. 제조업
04. 전기, 가스 및 수도사업
05. 건설업
06. 도매 및 소매업
07. 숙박 및 음식점업
08. 운수 및 창고업
09. 정보통신업
10. 금융 및 보험업
11. 부동산 및 임대업
12. 전문, 과학 및 기술 서비스업
13. 사업시설 관리, 사업 지원 및 임대 서비스업
14. 공공행정, 국방 및 사회보장 행정
15. 교육 서비스업
16. 보건 및 사회복지 서비스업
17. 예술, 스포츠 및 여가관련 서비스업
18. 협회 및 단체, 수리 및 기타 개인서비스업
19. 가사 서비스업
20. 국제 및 외국기관</t>
        </r>
      </text>
    </comment>
    <comment ref="N7" authorId="0" shapeId="0" xr:uid="{C6199915-AB7B-4355-9F5C-50311FA3903C}">
      <text>
        <r>
          <rPr>
            <b/>
            <sz val="9"/>
            <color indexed="81"/>
            <rFont val="맑은 고딕"/>
            <family val="3"/>
            <charset val="129"/>
            <scheme val="minor"/>
          </rPr>
          <t>참고자료 시트에서 부산시 9대 전략산업 관련 내용 확인 가능</t>
        </r>
      </text>
    </comment>
    <comment ref="P7" authorId="0" shapeId="0" xr:uid="{22824BAF-181E-4DC5-8060-C2A02C46845B}">
      <text>
        <r>
          <rPr>
            <b/>
            <sz val="9"/>
            <color indexed="81"/>
            <rFont val="돋움"/>
            <family val="3"/>
            <charset val="129"/>
          </rPr>
          <t>참고자료</t>
        </r>
        <r>
          <rPr>
            <b/>
            <sz val="9"/>
            <color indexed="81"/>
            <rFont val="Tahoma"/>
            <family val="2"/>
          </rPr>
          <t xml:space="preserve"> </t>
        </r>
        <r>
          <rPr>
            <b/>
            <sz val="9"/>
            <color indexed="81"/>
            <rFont val="돋움"/>
            <family val="3"/>
            <charset val="129"/>
          </rPr>
          <t>시트에서</t>
        </r>
        <r>
          <rPr>
            <b/>
            <sz val="9"/>
            <color indexed="81"/>
            <rFont val="Tahoma"/>
            <family val="2"/>
          </rPr>
          <t xml:space="preserve"> </t>
        </r>
        <r>
          <rPr>
            <b/>
            <sz val="9"/>
            <color indexed="81"/>
            <rFont val="돋움"/>
            <family val="3"/>
            <charset val="129"/>
          </rPr>
          <t>투자</t>
        </r>
        <r>
          <rPr>
            <b/>
            <sz val="9"/>
            <color indexed="81"/>
            <rFont val="Tahoma"/>
            <family val="2"/>
          </rPr>
          <t xml:space="preserve"> </t>
        </r>
        <r>
          <rPr>
            <b/>
            <sz val="9"/>
            <color indexed="81"/>
            <rFont val="돋움"/>
            <family val="3"/>
            <charset val="129"/>
          </rPr>
          <t>라운드</t>
        </r>
        <r>
          <rPr>
            <b/>
            <sz val="9"/>
            <color indexed="81"/>
            <rFont val="Tahoma"/>
            <family val="2"/>
          </rPr>
          <t xml:space="preserve"> </t>
        </r>
        <r>
          <rPr>
            <b/>
            <sz val="9"/>
            <color indexed="81"/>
            <rFont val="돋움"/>
            <family val="3"/>
            <charset val="129"/>
          </rPr>
          <t>정의</t>
        </r>
        <r>
          <rPr>
            <b/>
            <sz val="9"/>
            <color indexed="81"/>
            <rFont val="Tahoma"/>
            <family val="2"/>
          </rPr>
          <t xml:space="preserve"> </t>
        </r>
        <r>
          <rPr>
            <b/>
            <sz val="9"/>
            <color indexed="81"/>
            <rFont val="돋움"/>
            <family val="3"/>
            <charset val="129"/>
          </rPr>
          <t>확인</t>
        </r>
        <r>
          <rPr>
            <b/>
            <sz val="9"/>
            <color indexed="81"/>
            <rFont val="Tahoma"/>
            <family val="2"/>
          </rPr>
          <t xml:space="preserve"> </t>
        </r>
        <r>
          <rPr>
            <b/>
            <sz val="9"/>
            <color indexed="81"/>
            <rFont val="돋움"/>
            <family val="3"/>
            <charset val="129"/>
          </rPr>
          <t>가능</t>
        </r>
      </text>
    </comment>
    <comment ref="U7" authorId="0" shapeId="0" xr:uid="{F7AD69C3-E8EA-446E-870E-45480AC6234D}">
      <text>
        <r>
          <rPr>
            <b/>
            <sz val="9"/>
            <color indexed="81"/>
            <rFont val="돋움"/>
            <family val="3"/>
            <charset val="129"/>
          </rPr>
          <t>지사는</t>
        </r>
        <r>
          <rPr>
            <b/>
            <sz val="9"/>
            <color indexed="81"/>
            <rFont val="Tahoma"/>
            <family val="2"/>
          </rPr>
          <t xml:space="preserve"> </t>
        </r>
        <r>
          <rPr>
            <b/>
            <sz val="9"/>
            <color indexed="81"/>
            <rFont val="돋움"/>
            <family val="3"/>
            <charset val="129"/>
          </rPr>
          <t>해당</t>
        </r>
        <r>
          <rPr>
            <b/>
            <sz val="9"/>
            <color indexed="81"/>
            <rFont val="Tahoma"/>
            <family val="2"/>
          </rPr>
          <t xml:space="preserve"> </t>
        </r>
        <r>
          <rPr>
            <b/>
            <sz val="9"/>
            <color indexed="81"/>
            <rFont val="돋움"/>
            <family val="3"/>
            <charset val="129"/>
          </rPr>
          <t>지역</t>
        </r>
        <r>
          <rPr>
            <b/>
            <sz val="9"/>
            <color indexed="81"/>
            <rFont val="Tahoma"/>
            <family val="2"/>
          </rPr>
          <t xml:space="preserve"> </t>
        </r>
        <r>
          <rPr>
            <b/>
            <sz val="9"/>
            <color indexed="81"/>
            <rFont val="돋움"/>
            <family val="3"/>
            <charset val="129"/>
          </rPr>
          <t>모두</t>
        </r>
        <r>
          <rPr>
            <b/>
            <sz val="9"/>
            <color indexed="81"/>
            <rFont val="Tahoma"/>
            <family val="2"/>
          </rPr>
          <t xml:space="preserve"> </t>
        </r>
        <r>
          <rPr>
            <b/>
            <sz val="9"/>
            <color indexed="81"/>
            <rFont val="돋움"/>
            <family val="3"/>
            <charset val="129"/>
          </rPr>
          <t>직접</t>
        </r>
        <r>
          <rPr>
            <b/>
            <sz val="9"/>
            <color indexed="81"/>
            <rFont val="Tahoma"/>
            <family val="2"/>
          </rPr>
          <t xml:space="preserve"> </t>
        </r>
        <r>
          <rPr>
            <b/>
            <sz val="9"/>
            <color indexed="81"/>
            <rFont val="돋움"/>
            <family val="3"/>
            <charset val="129"/>
          </rPr>
          <t>입력</t>
        </r>
      </text>
    </comment>
    <comment ref="V7" authorId="0" shapeId="0" xr:uid="{568581BF-D9A1-4D56-A5D6-18193E1039B2}">
      <text>
        <r>
          <rPr>
            <b/>
            <sz val="9"/>
            <color indexed="81"/>
            <rFont val="돋움"/>
            <family val="3"/>
            <charset val="129"/>
          </rPr>
          <t>지사는</t>
        </r>
        <r>
          <rPr>
            <b/>
            <sz val="9"/>
            <color indexed="81"/>
            <rFont val="Tahoma"/>
            <family val="2"/>
          </rPr>
          <t xml:space="preserve"> </t>
        </r>
        <r>
          <rPr>
            <b/>
            <sz val="9"/>
            <color indexed="81"/>
            <rFont val="돋움"/>
            <family val="3"/>
            <charset val="129"/>
          </rPr>
          <t>해당</t>
        </r>
        <r>
          <rPr>
            <b/>
            <sz val="9"/>
            <color indexed="81"/>
            <rFont val="Tahoma"/>
            <family val="2"/>
          </rPr>
          <t xml:space="preserve"> </t>
        </r>
        <r>
          <rPr>
            <b/>
            <sz val="9"/>
            <color indexed="81"/>
            <rFont val="돋움"/>
            <family val="3"/>
            <charset val="129"/>
          </rPr>
          <t>지역</t>
        </r>
        <r>
          <rPr>
            <b/>
            <sz val="9"/>
            <color indexed="81"/>
            <rFont val="Tahoma"/>
            <family val="2"/>
          </rPr>
          <t xml:space="preserve"> </t>
        </r>
        <r>
          <rPr>
            <b/>
            <sz val="9"/>
            <color indexed="81"/>
            <rFont val="돋움"/>
            <family val="3"/>
            <charset val="129"/>
          </rPr>
          <t>모두</t>
        </r>
        <r>
          <rPr>
            <b/>
            <sz val="9"/>
            <color indexed="81"/>
            <rFont val="Tahoma"/>
            <family val="2"/>
          </rPr>
          <t xml:space="preserve"> </t>
        </r>
        <r>
          <rPr>
            <b/>
            <sz val="9"/>
            <color indexed="81"/>
            <rFont val="돋움"/>
            <family val="3"/>
            <charset val="129"/>
          </rPr>
          <t>직접</t>
        </r>
        <r>
          <rPr>
            <b/>
            <sz val="9"/>
            <color indexed="81"/>
            <rFont val="Tahoma"/>
            <family val="2"/>
          </rPr>
          <t xml:space="preserve"> </t>
        </r>
        <r>
          <rPr>
            <b/>
            <sz val="9"/>
            <color indexed="81"/>
            <rFont val="돋움"/>
            <family val="3"/>
            <charset val="129"/>
          </rPr>
          <t>입력</t>
        </r>
      </text>
    </comment>
    <comment ref="AK7" authorId="0" shapeId="0" xr:uid="{A24AAE55-F3EA-4800-B1ED-D4E405C11D96}">
      <text>
        <r>
          <rPr>
            <b/>
            <sz val="9"/>
            <color indexed="81"/>
            <rFont val="돋움"/>
            <family val="3"/>
            <charset val="129"/>
          </rPr>
          <t>참고자료</t>
        </r>
        <r>
          <rPr>
            <b/>
            <sz val="9"/>
            <color indexed="81"/>
            <rFont val="Tahoma"/>
            <family val="2"/>
          </rPr>
          <t xml:space="preserve"> </t>
        </r>
        <r>
          <rPr>
            <b/>
            <sz val="9"/>
            <color indexed="81"/>
            <rFont val="돋움"/>
            <family val="3"/>
            <charset val="129"/>
          </rPr>
          <t>시트에서</t>
        </r>
        <r>
          <rPr>
            <b/>
            <sz val="9"/>
            <color indexed="81"/>
            <rFont val="Tahoma"/>
            <family val="2"/>
          </rPr>
          <t xml:space="preserve"> </t>
        </r>
        <r>
          <rPr>
            <b/>
            <sz val="9"/>
            <color indexed="81"/>
            <rFont val="돋움"/>
            <family val="3"/>
            <charset val="129"/>
          </rPr>
          <t>리드투자</t>
        </r>
        <r>
          <rPr>
            <b/>
            <sz val="9"/>
            <color indexed="81"/>
            <rFont val="Tahoma"/>
            <family val="2"/>
          </rPr>
          <t xml:space="preserve"> </t>
        </r>
        <r>
          <rPr>
            <b/>
            <sz val="9"/>
            <color indexed="81"/>
            <rFont val="돋움"/>
            <family val="3"/>
            <charset val="129"/>
          </rPr>
          <t>정의</t>
        </r>
        <r>
          <rPr>
            <b/>
            <sz val="9"/>
            <color indexed="81"/>
            <rFont val="Tahoma"/>
            <family val="2"/>
          </rPr>
          <t xml:space="preserve"> </t>
        </r>
        <r>
          <rPr>
            <b/>
            <sz val="9"/>
            <color indexed="81"/>
            <rFont val="돋움"/>
            <family val="3"/>
            <charset val="129"/>
          </rPr>
          <t>확인</t>
        </r>
        <r>
          <rPr>
            <b/>
            <sz val="9"/>
            <color indexed="81"/>
            <rFont val="Tahoma"/>
            <family val="2"/>
          </rPr>
          <t xml:space="preserve"> </t>
        </r>
        <r>
          <rPr>
            <b/>
            <sz val="9"/>
            <color indexed="81"/>
            <rFont val="돋움"/>
            <family val="3"/>
            <charset val="129"/>
          </rPr>
          <t>가능</t>
        </r>
      </text>
    </comment>
    <comment ref="AP7" authorId="0" shapeId="0" xr:uid="{A132CBC7-7E70-4F65-89CB-2C60FDFB2B59}">
      <text>
        <r>
          <rPr>
            <b/>
            <sz val="9"/>
            <color indexed="81"/>
            <rFont val="Tahoma"/>
            <family val="2"/>
          </rPr>
          <t xml:space="preserve">DQ34. </t>
        </r>
        <r>
          <rPr>
            <b/>
            <sz val="9"/>
            <color indexed="81"/>
            <rFont val="돋움"/>
            <family val="3"/>
            <charset val="129"/>
          </rPr>
          <t>상장트랙</t>
        </r>
        <r>
          <rPr>
            <b/>
            <sz val="9"/>
            <color indexed="81"/>
            <rFont val="Tahoma"/>
            <family val="2"/>
          </rPr>
          <t xml:space="preserve"> '</t>
        </r>
        <r>
          <rPr>
            <b/>
            <sz val="9"/>
            <color indexed="81"/>
            <rFont val="돋움"/>
            <family val="3"/>
            <charset val="129"/>
          </rPr>
          <t>기타</t>
        </r>
        <r>
          <rPr>
            <b/>
            <sz val="9"/>
            <color indexed="81"/>
            <rFont val="Tahoma"/>
            <family val="2"/>
          </rPr>
          <t xml:space="preserve">' </t>
        </r>
        <r>
          <rPr>
            <b/>
            <sz val="9"/>
            <color indexed="81"/>
            <rFont val="돋움"/>
            <family val="3"/>
            <charset val="129"/>
          </rPr>
          <t>선택</t>
        </r>
        <r>
          <rPr>
            <b/>
            <sz val="9"/>
            <color indexed="81"/>
            <rFont val="Tahoma"/>
            <family val="2"/>
          </rPr>
          <t xml:space="preserve"> </t>
        </r>
        <r>
          <rPr>
            <b/>
            <sz val="9"/>
            <color indexed="81"/>
            <rFont val="돋움"/>
            <family val="3"/>
            <charset val="129"/>
          </rPr>
          <t>시</t>
        </r>
        <r>
          <rPr>
            <b/>
            <sz val="9"/>
            <color indexed="81"/>
            <rFont val="Tahoma"/>
            <family val="2"/>
          </rPr>
          <t xml:space="preserve"> </t>
        </r>
        <r>
          <rPr>
            <b/>
            <sz val="9"/>
            <color indexed="81"/>
            <rFont val="돋움"/>
            <family val="3"/>
            <charset val="129"/>
          </rPr>
          <t>해당</t>
        </r>
        <r>
          <rPr>
            <b/>
            <sz val="9"/>
            <color indexed="81"/>
            <rFont val="Tahoma"/>
            <family val="2"/>
          </rPr>
          <t xml:space="preserve"> </t>
        </r>
        <r>
          <rPr>
            <b/>
            <sz val="9"/>
            <color indexed="81"/>
            <rFont val="돋움"/>
            <family val="3"/>
            <charset val="129"/>
          </rPr>
          <t>내용</t>
        </r>
        <r>
          <rPr>
            <b/>
            <sz val="9"/>
            <color indexed="81"/>
            <rFont val="Tahoma"/>
            <family val="2"/>
          </rPr>
          <t xml:space="preserve"> </t>
        </r>
        <r>
          <rPr>
            <b/>
            <sz val="9"/>
            <color indexed="81"/>
            <rFont val="돋움"/>
            <family val="3"/>
            <charset val="129"/>
          </rPr>
          <t>기재</t>
        </r>
      </text>
    </comment>
    <comment ref="AZ8" authorId="1" shapeId="0" xr:uid="{2BFDD971-B46A-47AD-8591-76F96F9A1E23}">
      <text>
        <t>[스레드 댓글]
사용 중인 버전의 Excel에서 이 스레드 댓글을 읽을 수 있지만 파일을 이후 버전의 Excel에서 열면 편집 내용이 모두 제거됩니다. 자세한 정보: https://go.microsoft.com/fwlink/?linkid=870924.
댓글:
    폐업으로 자료 수령 불가</t>
      </text>
    </comment>
    <comment ref="BD9" authorId="2" shapeId="0" xr:uid="{31C8428E-AF2C-4A7D-8850-D43313405BA2}">
      <text>
        <t>[스레드 댓글]
사용 중인 버전의 Excel에서 이 스레드 댓글을 읽을 수 있지만 파일을 이후 버전의 Excel에서 열면 편집 내용이 모두 제거됩니다. 자세한 정보: https://go.microsoft.com/fwlink/?linkid=870924.
댓글:
    가결산</t>
      </text>
    </comment>
    <comment ref="BE9" authorId="3" shapeId="0" xr:uid="{7795F868-C3C4-417E-BAED-F7CCB5B036AE}">
      <text>
        <t>[스레드 댓글]
사용 중인 버전의 Excel에서 이 스레드 댓글을 읽을 수 있지만 파일을 이후 버전의 Excel에서 열면 편집 내용이 모두 제거됩니다. 자세한 정보: https://go.microsoft.com/fwlink/?linkid=870924.
댓글:
    26.1Q 가결산 자료 내 전년도</t>
      </text>
    </comment>
    <comment ref="BD11" authorId="4" shapeId="0" xr:uid="{9D585C53-B848-49FE-9D35-1F1F653B6C45}">
      <text>
        <t>[스레드 댓글]
사용 중인 버전의 Excel에서 이 스레드 댓글을 읽을 수 있지만 파일을 이후 버전의 Excel에서 열면 편집 내용이 모두 제거됩니다. 자세한 정보: https://go.microsoft.com/fwlink/?linkid=870924.
댓글:
    Exit로 자료 수령 불가</t>
      </text>
    </comment>
    <comment ref="BC12" authorId="5" shapeId="0" xr:uid="{6E3A3883-0C53-43A8-9C10-30ACE75E3FB5}">
      <text>
        <t>[스레드 댓글]
사용 중인 버전의 Excel에서 이 스레드 댓글을 읽을 수 있지만 파일을 이후 버전의 Excel에서 열면 편집 내용이 모두 제거됩니다. 자세한 정보: https://go.microsoft.com/fwlink/?linkid=870924.
댓글:
    투자기업 자료 미제출</t>
      </text>
    </comment>
  </commentList>
</comments>
</file>

<file path=xl/sharedStrings.xml><?xml version="1.0" encoding="utf-8"?>
<sst xmlns="http://schemas.openxmlformats.org/spreadsheetml/2006/main" count="371" uniqueCount="276">
  <si>
    <t xml:space="preserve"> </t>
    <phoneticPr fontId="2" type="noConversion"/>
  </si>
  <si>
    <t>구분</t>
    <phoneticPr fontId="2" type="noConversion"/>
  </si>
  <si>
    <t>DQ01. 운용사명</t>
  </si>
  <si>
    <t>□ 수범 기업 #1</t>
    <phoneticPr fontId="2" type="noConversion"/>
  </si>
  <si>
    <t xml:space="preserve">기업명 </t>
    <phoneticPr fontId="2" type="noConversion"/>
  </si>
  <si>
    <t>□ 수범 기업 #2</t>
    <phoneticPr fontId="2" type="noConversion"/>
  </si>
  <si>
    <t>2026년 부산광역시 펀드 조성 및 성과분석</t>
    <phoneticPr fontId="2" type="noConversion"/>
  </si>
  <si>
    <t>ㅇㅇㅇㅇㅇㅇㅇ</t>
    <phoneticPr fontId="2" type="noConversion"/>
  </si>
  <si>
    <t>ㅇㅇㅇㅇㅇㅇㅇㅇ</t>
    <phoneticPr fontId="2" type="noConversion"/>
  </si>
  <si>
    <t>★ 담당자명</t>
    <phoneticPr fontId="2" type="noConversion"/>
  </si>
  <si>
    <t>★ 담당 연락처</t>
    <phoneticPr fontId="2" type="noConversion"/>
  </si>
  <si>
    <t>A01. 연도별 투자 기업수</t>
    <phoneticPr fontId="2" type="noConversion"/>
  </si>
  <si>
    <t>합계</t>
    <phoneticPr fontId="2" type="noConversion"/>
  </si>
  <si>
    <t>A13. 청산펀드 수익률(멀티플)</t>
    <phoneticPr fontId="2" type="noConversion"/>
  </si>
  <si>
    <t>□ 수범 기업 #3</t>
    <phoneticPr fontId="2" type="noConversion"/>
  </si>
  <si>
    <t>최초투자연도</t>
    <phoneticPr fontId="2" type="noConversion"/>
  </si>
  <si>
    <t>투자직전연도</t>
    <phoneticPr fontId="2" type="noConversion"/>
  </si>
  <si>
    <t>투자후 +1년</t>
    <phoneticPr fontId="2" type="noConversion"/>
  </si>
  <si>
    <t>투자후 +2년</t>
  </si>
  <si>
    <t>투자후 +3년</t>
  </si>
  <si>
    <t>투자후 +4년</t>
  </si>
  <si>
    <t>투자후 +5년</t>
  </si>
  <si>
    <r>
      <t xml:space="preserve">1. 운용사 정보 </t>
    </r>
    <r>
      <rPr>
        <b/>
        <sz val="10"/>
        <color rgb="FF0066FF"/>
        <rFont val="맑은 고딕"/>
        <family val="3"/>
        <charset val="129"/>
        <scheme val="minor"/>
      </rPr>
      <t>(Co-GP의 경우 표 아래칸 추가하여 입력)</t>
    </r>
    <phoneticPr fontId="2" type="noConversion"/>
  </si>
  <si>
    <r>
      <t xml:space="preserve">3.투자 현황 </t>
    </r>
    <r>
      <rPr>
        <b/>
        <sz val="10"/>
        <color rgb="FF0066FF"/>
        <rFont val="맑은 고딕"/>
        <family val="3"/>
        <charset val="129"/>
        <scheme val="minor"/>
      </rPr>
      <t>(누계 아님, 해당연도에 해당하는 수치만 작성)</t>
    </r>
    <phoneticPr fontId="2" type="noConversion"/>
  </si>
  <si>
    <r>
      <t xml:space="preserve">4. IPO 현황 </t>
    </r>
    <r>
      <rPr>
        <b/>
        <sz val="10"/>
        <color rgb="FF0066FF"/>
        <rFont val="맑은 고딕"/>
        <family val="3"/>
        <charset val="129"/>
        <scheme val="minor"/>
      </rPr>
      <t>(누계 아님, 해당연도에 해당하는 수치만 작성)</t>
    </r>
    <phoneticPr fontId="2" type="noConversion"/>
  </si>
  <si>
    <r>
      <t>5. 부산기업 수범 사례</t>
    </r>
    <r>
      <rPr>
        <b/>
        <sz val="10"/>
        <color rgb="FF0066FF"/>
        <rFont val="맑은 고딕"/>
        <family val="3"/>
        <charset val="129"/>
        <scheme val="minor"/>
      </rPr>
      <t xml:space="preserve"> (성과우수 기업 3개사 소개 / 해당기업 중 인터뷰 예정)</t>
    </r>
    <r>
      <rPr>
        <b/>
        <sz val="12"/>
        <color theme="1"/>
        <rFont val="맑은 고딕"/>
        <family val="3"/>
        <charset val="129"/>
        <scheme val="minor"/>
      </rPr>
      <t xml:space="preserve"> </t>
    </r>
    <phoneticPr fontId="2" type="noConversion"/>
  </si>
  <si>
    <r>
      <t>Ⅲ. 기업 현황</t>
    </r>
    <r>
      <rPr>
        <b/>
        <sz val="10"/>
        <color theme="1"/>
        <rFont val="맑은 고딕"/>
        <family val="3"/>
        <charset val="129"/>
        <scheme val="minor"/>
      </rPr>
      <t xml:space="preserve"> </t>
    </r>
    <r>
      <rPr>
        <b/>
        <sz val="10"/>
        <color rgb="FF0066FF"/>
        <rFont val="맑은 고딕"/>
        <family val="3"/>
        <charset val="129"/>
        <scheme val="minor"/>
      </rPr>
      <t>(누계 아님, 해당연도에 해당하는 수치만 작성)</t>
    </r>
    <r>
      <rPr>
        <b/>
        <sz val="12"/>
        <color theme="1"/>
        <rFont val="맑은 고딕"/>
        <family val="3"/>
        <charset val="129"/>
        <scheme val="minor"/>
      </rPr>
      <t xml:space="preserve"> *필요시 연도 추가 칸 삽입</t>
    </r>
    <phoneticPr fontId="2" type="noConversion"/>
  </si>
  <si>
    <t>DQ02. 대표자명</t>
    <phoneticPr fontId="2" type="noConversion"/>
  </si>
  <si>
    <t>DQ03. 본점 소재지</t>
    <phoneticPr fontId="2" type="noConversion"/>
  </si>
  <si>
    <t>DQ04. 지점 소재지</t>
    <phoneticPr fontId="2" type="noConversion"/>
  </si>
  <si>
    <t>DQ05. 운용조합 수(개)</t>
    <phoneticPr fontId="2" type="noConversion"/>
  </si>
  <si>
    <t>DQ06. 운용조합 규모(AUM)(원)</t>
    <phoneticPr fontId="2" type="noConversion"/>
  </si>
  <si>
    <t>DQ08. 총 임직원 수(명)</t>
    <phoneticPr fontId="2" type="noConversion"/>
  </si>
  <si>
    <t>DQ09. 심사역 수(명)</t>
    <phoneticPr fontId="2" type="noConversion"/>
  </si>
  <si>
    <t>DQ10. 부산사무소 상근 임직원 수(해당시)</t>
    <phoneticPr fontId="2" type="noConversion"/>
  </si>
  <si>
    <t>DQ11. 부산사무소 상근 심사역 수(해당시)</t>
    <phoneticPr fontId="2" type="noConversion"/>
  </si>
  <si>
    <t>A02. 해당 연도별 투자금액</t>
    <phoneticPr fontId="2" type="noConversion"/>
  </si>
  <si>
    <r>
      <t xml:space="preserve">A03. 연도별 </t>
    </r>
    <r>
      <rPr>
        <b/>
        <sz val="11"/>
        <rFont val="맑은 고딕"/>
        <family val="3"/>
        <charset val="129"/>
        <scheme val="minor"/>
      </rPr>
      <t>부산기업</t>
    </r>
    <r>
      <rPr>
        <sz val="11"/>
        <rFont val="맑은 고딕"/>
        <family val="3"/>
        <charset val="129"/>
        <scheme val="minor"/>
      </rPr>
      <t xml:space="preserve"> 투자 기업수(본점만)</t>
    </r>
    <phoneticPr fontId="2" type="noConversion"/>
  </si>
  <si>
    <r>
      <t xml:space="preserve">A04. 연도별 </t>
    </r>
    <r>
      <rPr>
        <b/>
        <sz val="11"/>
        <rFont val="맑은 고딕"/>
        <family val="3"/>
        <charset val="129"/>
        <scheme val="minor"/>
      </rPr>
      <t>부산기업</t>
    </r>
    <r>
      <rPr>
        <sz val="11"/>
        <rFont val="맑은 고딕"/>
        <family val="3"/>
        <charset val="129"/>
        <scheme val="minor"/>
      </rPr>
      <t xml:space="preserve"> 투자금액(본점만)</t>
    </r>
    <phoneticPr fontId="2" type="noConversion"/>
  </si>
  <si>
    <t>A05. 투자 후 사업장 유지 부산기업 수</t>
    <phoneticPr fontId="2" type="noConversion"/>
  </si>
  <si>
    <t>A06. 투자 후 폐업한 부산기업 수</t>
    <phoneticPr fontId="2" type="noConversion"/>
  </si>
  <si>
    <t>A07. 투자 후 부산으로 이전한 부산 기업 수(본사기준)</t>
    <phoneticPr fontId="2" type="noConversion"/>
  </si>
  <si>
    <t xml:space="preserve">A08. 투자 후 부산에서 타 지역으로 이전한 부산기업 수(본사기준)  </t>
    <phoneticPr fontId="2" type="noConversion"/>
  </si>
  <si>
    <t>A09. 해당연도별 회수금액</t>
    <phoneticPr fontId="2" type="noConversion"/>
  </si>
  <si>
    <t>A10. 해당연도별 부산기업 회수금액</t>
    <phoneticPr fontId="2" type="noConversion"/>
  </si>
  <si>
    <t>A11. 향후 회수 예상 금액</t>
    <phoneticPr fontId="2" type="noConversion"/>
  </si>
  <si>
    <t>A14. 청산펀드 수익률(IRR)</t>
    <phoneticPr fontId="2" type="noConversion"/>
  </si>
  <si>
    <t>A15. 총 투자기업 중 IPO 기업 수</t>
    <phoneticPr fontId="2" type="noConversion"/>
  </si>
  <si>
    <r>
      <t xml:space="preserve">A16. 총 투자기업 중 </t>
    </r>
    <r>
      <rPr>
        <b/>
        <sz val="11"/>
        <color theme="1"/>
        <rFont val="맑은 고딕"/>
        <family val="3"/>
        <charset val="129"/>
        <scheme val="minor"/>
      </rPr>
      <t>부산기업 IPO</t>
    </r>
    <r>
      <rPr>
        <sz val="11"/>
        <color theme="1"/>
        <rFont val="맑은 고딕"/>
        <family val="3"/>
        <charset val="129"/>
        <scheme val="minor"/>
      </rPr>
      <t xml:space="preserve"> 기업  수</t>
    </r>
    <phoneticPr fontId="2" type="noConversion"/>
  </si>
  <si>
    <t>A17. 본 조합 투자기업 중 타지역 IPO 기업명(서술)</t>
    <phoneticPr fontId="2" type="noConversion"/>
  </si>
  <si>
    <r>
      <rPr>
        <b/>
        <sz val="11"/>
        <color theme="1"/>
        <rFont val="KoPub돋움체 Medium"/>
        <family val="3"/>
        <charset val="129"/>
      </rPr>
      <t xml:space="preserve">○ 귀사의 무궁한 발전과 일익 번창함을 기원합니다.
○ 부산시는 지역 중심의 투자조합 결성을 적극적으로 지원하며 펀드 조성에 적극 힘쓰고 있습니다. 또한 매년 조성한 펀드의 성과분석을 통해 향후 펀드 조성의 기초자료로 활용하고 있습니다. 
연일 과중한 업무로 바쁘시겠지만, 지역 발전을 위하여 잠시 시간을 내어 협조하여 주시면 감사하겠습니다
</t>
    </r>
    <r>
      <rPr>
        <b/>
        <sz val="10"/>
        <color theme="1"/>
        <rFont val="KoPub돋움체 Medium"/>
        <family val="3"/>
        <charset val="129"/>
      </rPr>
      <t xml:space="preserve">
</t>
    </r>
    <r>
      <rPr>
        <b/>
        <sz val="10"/>
        <color rgb="FFFF0066"/>
        <rFont val="KoPub돋움체 Medium"/>
        <family val="3"/>
        <charset val="129"/>
      </rPr>
      <t>★ (문의처)</t>
    </r>
    <r>
      <rPr>
        <b/>
        <sz val="10"/>
        <color theme="1"/>
        <rFont val="KoPub돋움체 Medium"/>
        <family val="3"/>
        <charset val="129"/>
      </rPr>
      <t xml:space="preserve"> 부산기술창업투자원 조민선 차장(051-715-1756, msjo@bsia.or.kr) / 부산기술창업투자원 정대근 과장 (051-715-1757, dgjeong@bsia.or.kr)
</t>
    </r>
    <r>
      <rPr>
        <b/>
        <sz val="10"/>
        <color rgb="FFFF0066"/>
        <rFont val="KoPub돋움체 Medium"/>
        <family val="3"/>
        <charset val="129"/>
      </rPr>
      <t xml:space="preserve">★ (설문지 회신) </t>
    </r>
    <r>
      <rPr>
        <b/>
        <sz val="10"/>
        <color theme="1"/>
        <rFont val="KoPub돋움체 Medium"/>
        <family val="3"/>
        <charset val="129"/>
      </rPr>
      <t>부산기술창업투자원 정대근 과장 (051-715-1757, dgjeong@bsia.or.kr)</t>
    </r>
    <phoneticPr fontId="2" type="noConversion"/>
  </si>
  <si>
    <r>
      <t xml:space="preserve">DQ07. 운용조합 투자잔액(원) </t>
    </r>
    <r>
      <rPr>
        <sz val="9"/>
        <rFont val="맑은 고딕"/>
        <family val="3"/>
        <charset val="129"/>
        <scheme val="minor"/>
      </rPr>
      <t>*청산 제외</t>
    </r>
    <phoneticPr fontId="2" type="noConversion"/>
  </si>
  <si>
    <r>
      <t>Ⅱ. 기본 정보</t>
    </r>
    <r>
      <rPr>
        <b/>
        <sz val="10"/>
        <color theme="1"/>
        <rFont val="맑은 고딕"/>
        <family val="3"/>
        <charset val="129"/>
        <scheme val="minor"/>
      </rPr>
      <t xml:space="preserve"> </t>
    </r>
    <r>
      <rPr>
        <b/>
        <sz val="10"/>
        <color rgb="FF0000FF"/>
        <rFont val="맑은 고딕"/>
        <family val="3"/>
        <charset val="129"/>
        <scheme val="minor"/>
      </rPr>
      <t>※ 투자시점 본사기준 부산 소재지 기업 모두 작성(폐업, 회수도 작성 바랍니다)</t>
    </r>
    <phoneticPr fontId="2" type="noConversion"/>
  </si>
  <si>
    <t>기업명</t>
    <phoneticPr fontId="2" type="noConversion"/>
  </si>
  <si>
    <t>대표자명</t>
    <phoneticPr fontId="2" type="noConversion"/>
  </si>
  <si>
    <t>아이템</t>
    <phoneticPr fontId="2" type="noConversion"/>
  </si>
  <si>
    <t>핵심기술</t>
    <phoneticPr fontId="2" type="noConversion"/>
  </si>
  <si>
    <t>설립일자(0000-00-00)</t>
    <phoneticPr fontId="2" type="noConversion"/>
  </si>
  <si>
    <t>업종</t>
    <phoneticPr fontId="2" type="noConversion"/>
  </si>
  <si>
    <t>부산시 9대 전략산업</t>
    <phoneticPr fontId="2" type="noConversion"/>
  </si>
  <si>
    <t>투자 라운드(투자시점)</t>
    <phoneticPr fontId="2" type="noConversion"/>
  </si>
  <si>
    <t>사업변동현황</t>
    <phoneticPr fontId="2" type="noConversion"/>
  </si>
  <si>
    <t>해당펀드 총 투자금액 (원)</t>
    <phoneticPr fontId="2" type="noConversion"/>
  </si>
  <si>
    <t>감액금액 (원)</t>
    <phoneticPr fontId="2" type="noConversion"/>
  </si>
  <si>
    <t>투자잔액 (원)</t>
    <phoneticPr fontId="2" type="noConversion"/>
  </si>
  <si>
    <t>상장주관사 (해당시)</t>
    <phoneticPr fontId="2" type="noConversion"/>
  </si>
  <si>
    <t>상장트랙</t>
    <phoneticPr fontId="2" type="noConversion"/>
  </si>
  <si>
    <t>매출 = 국내+해외 총 매출 (원)</t>
    <phoneticPr fontId="2" type="noConversion"/>
  </si>
  <si>
    <t>직원수 (명)</t>
    <phoneticPr fontId="2" type="noConversion"/>
  </si>
  <si>
    <t>기업 인수·합병 (건)</t>
    <phoneticPr fontId="2" type="noConversion"/>
  </si>
  <si>
    <t>DQ01.</t>
    <phoneticPr fontId="2" type="noConversion"/>
  </si>
  <si>
    <t>DQ02.</t>
    <phoneticPr fontId="2" type="noConversion"/>
  </si>
  <si>
    <t>DQ03.</t>
    <phoneticPr fontId="2" type="noConversion"/>
  </si>
  <si>
    <t>DQ04.</t>
    <phoneticPr fontId="2" type="noConversion"/>
  </si>
  <si>
    <t>DQ05.</t>
    <phoneticPr fontId="2" type="noConversion"/>
  </si>
  <si>
    <t>DQ06.</t>
    <phoneticPr fontId="2" type="noConversion"/>
  </si>
  <si>
    <t>DQ07.</t>
    <phoneticPr fontId="2" type="noConversion"/>
  </si>
  <si>
    <t>DQ08.</t>
    <phoneticPr fontId="2" type="noConversion"/>
  </si>
  <si>
    <t>DQ09.</t>
    <phoneticPr fontId="2" type="noConversion"/>
  </si>
  <si>
    <t>DQ10.</t>
    <phoneticPr fontId="2" type="noConversion"/>
  </si>
  <si>
    <t>DQ11.</t>
    <phoneticPr fontId="2" type="noConversion"/>
  </si>
  <si>
    <t>DQ12.</t>
    <phoneticPr fontId="2" type="noConversion"/>
  </si>
  <si>
    <t>DQ13.</t>
    <phoneticPr fontId="2" type="noConversion"/>
  </si>
  <si>
    <t>DQ14.</t>
    <phoneticPr fontId="2" type="noConversion"/>
  </si>
  <si>
    <t>DQ15.</t>
    <phoneticPr fontId="2" type="noConversion"/>
  </si>
  <si>
    <t>DQ16.</t>
    <phoneticPr fontId="2" type="noConversion"/>
  </si>
  <si>
    <t>DQ17.</t>
    <phoneticPr fontId="2" type="noConversion"/>
  </si>
  <si>
    <t>DQ18.</t>
    <phoneticPr fontId="2" type="noConversion"/>
  </si>
  <si>
    <t>DQ19_1.</t>
    <phoneticPr fontId="2" type="noConversion"/>
  </si>
  <si>
    <t>DQ19_2.</t>
    <phoneticPr fontId="2" type="noConversion"/>
  </si>
  <si>
    <t>DQ20_1.</t>
    <phoneticPr fontId="2" type="noConversion"/>
  </si>
  <si>
    <t>DQ20_2.</t>
    <phoneticPr fontId="2" type="noConversion"/>
  </si>
  <si>
    <t>DQ21.</t>
    <phoneticPr fontId="2" type="noConversion"/>
  </si>
  <si>
    <t>DQ22.</t>
    <phoneticPr fontId="2" type="noConversion"/>
  </si>
  <si>
    <t>DQ23.</t>
    <phoneticPr fontId="2" type="noConversion"/>
  </si>
  <si>
    <t>DQ24.</t>
    <phoneticPr fontId="2" type="noConversion"/>
  </si>
  <si>
    <t>DQ25.</t>
    <phoneticPr fontId="2" type="noConversion"/>
  </si>
  <si>
    <t>DQ26.</t>
    <phoneticPr fontId="2" type="noConversion"/>
  </si>
  <si>
    <t>DQ27.</t>
    <phoneticPr fontId="2" type="noConversion"/>
  </si>
  <si>
    <t>DQ28.</t>
    <phoneticPr fontId="2" type="noConversion"/>
  </si>
  <si>
    <t>DQ29.</t>
    <phoneticPr fontId="2" type="noConversion"/>
  </si>
  <si>
    <t>DQ30.</t>
    <phoneticPr fontId="2" type="noConversion"/>
  </si>
  <si>
    <t>DQ31.</t>
    <phoneticPr fontId="2" type="noConversion"/>
  </si>
  <si>
    <t>DQ32.</t>
    <phoneticPr fontId="2" type="noConversion"/>
  </si>
  <si>
    <t>DQ33.</t>
    <phoneticPr fontId="2" type="noConversion"/>
  </si>
  <si>
    <t>DQ34.</t>
    <phoneticPr fontId="2" type="noConversion"/>
  </si>
  <si>
    <t>DQ35.</t>
    <phoneticPr fontId="2" type="noConversion"/>
  </si>
  <si>
    <t>DQ37.</t>
    <phoneticPr fontId="2" type="noConversion"/>
  </si>
  <si>
    <t>DQ38.</t>
    <phoneticPr fontId="2" type="noConversion"/>
  </si>
  <si>
    <t>사업자번호
000-00-00000 형식</t>
    <phoneticPr fontId="2" type="noConversion"/>
  </si>
  <si>
    <r>
      <t xml:space="preserve">법인번호
</t>
    </r>
    <r>
      <rPr>
        <sz val="9"/>
        <color theme="1"/>
        <rFont val="맑은 고딕"/>
        <family val="3"/>
        <charset val="129"/>
        <scheme val="minor"/>
      </rPr>
      <t>000000-00000000
형식</t>
    </r>
    <phoneticPr fontId="2" type="noConversion"/>
  </si>
  <si>
    <t>상장일
(목표연도)
(0000-00-00)</t>
    <phoneticPr fontId="2" type="noConversion"/>
  </si>
  <si>
    <t>투자시점
본사 지역</t>
    <phoneticPr fontId="2" type="noConversion"/>
  </si>
  <si>
    <t>현재 본사
지역</t>
    <phoneticPr fontId="2" type="noConversion"/>
  </si>
  <si>
    <t>향후 본사
부산지역
이전 계획
보유 여부</t>
    <phoneticPr fontId="2" type="noConversion"/>
  </si>
  <si>
    <t>향후 지사
부산지역
이전 계획
보유 여부
(해당시)</t>
    <phoneticPr fontId="2" type="noConversion"/>
  </si>
  <si>
    <t>투자시점
해외 법인
보유 여부</t>
    <phoneticPr fontId="2" type="noConversion"/>
  </si>
  <si>
    <t>현재 시점
해외 법인
보유 지역
(서술기재)</t>
    <phoneticPr fontId="2" type="noConversion"/>
  </si>
  <si>
    <t>투자이후
해외 법인
설립 여부</t>
    <phoneticPr fontId="2" type="noConversion"/>
  </si>
  <si>
    <t>투자이후
해외 법인
설립 지역
(서술기재)</t>
    <phoneticPr fontId="2" type="noConversion"/>
  </si>
  <si>
    <t>회수금액
(회수원금) (원)</t>
    <phoneticPr fontId="2" type="noConversion"/>
  </si>
  <si>
    <t>회수금액
(회수수익) (원)</t>
    <phoneticPr fontId="2" type="noConversion"/>
  </si>
  <si>
    <t>잔여자산
평가금액 (원)</t>
    <phoneticPr fontId="2" type="noConversion"/>
  </si>
  <si>
    <t>해당
투자자산의
평가 배수</t>
    <phoneticPr fontId="2" type="noConversion"/>
  </si>
  <si>
    <t>투자시점
Pre M/V(원)</t>
    <phoneticPr fontId="2" type="noConversion"/>
  </si>
  <si>
    <t>2025년 말
기준
기업가치(원)</t>
    <phoneticPr fontId="2" type="noConversion"/>
  </si>
  <si>
    <t>리드투자
여부</t>
    <phoneticPr fontId="2" type="noConversion"/>
  </si>
  <si>
    <t>IPO 진행
단계</t>
    <phoneticPr fontId="2" type="noConversion"/>
  </si>
  <si>
    <t>투자이후
타조합의
투자유치 건
(운용사
타조합 포함)</t>
    <phoneticPr fontId="2" type="noConversion"/>
  </si>
  <si>
    <t>2025년도
타조합의
투자유치 건
(운용사
타조합 포함)</t>
    <phoneticPr fontId="2" type="noConversion"/>
  </si>
  <si>
    <t>투자이후
타조합의
투자유치
금액
(운용사
타조합 포함)</t>
    <phoneticPr fontId="2" type="noConversion"/>
  </si>
  <si>
    <t>2025년도
타조합의
투자유치
금액
(운용사
타조합 포함)</t>
    <phoneticPr fontId="2" type="noConversion"/>
  </si>
  <si>
    <t>NO.</t>
    <phoneticPr fontId="2" type="noConversion"/>
  </si>
  <si>
    <t>대표자
연락처</t>
    <phoneticPr fontId="2" type="noConversion"/>
  </si>
  <si>
    <t>대표자
이메일</t>
    <phoneticPr fontId="2" type="noConversion"/>
  </si>
  <si>
    <t>담당자
연락처</t>
    <phoneticPr fontId="2" type="noConversion"/>
  </si>
  <si>
    <t>담당자
이메일</t>
    <phoneticPr fontId="2" type="noConversion"/>
  </si>
  <si>
    <t>2026년 부산광역시 펀드 조성 및 성과분석 - 참고자료</t>
    <phoneticPr fontId="2" type="noConversion"/>
  </si>
  <si>
    <t>※ 부산시 9대 전략산업</t>
    <phoneticPr fontId="2" type="noConversion"/>
  </si>
  <si>
    <t>첨단전략기술 산업
(국가첨단
전략기술
기준 분류)</t>
    <phoneticPr fontId="2" type="noConversion"/>
  </si>
  <si>
    <t>※ 투자 라운드 정의</t>
    <phoneticPr fontId="2" type="noConversion"/>
  </si>
  <si>
    <t>※ 리드투자 정의</t>
    <phoneticPr fontId="2" type="noConversion"/>
  </si>
  <si>
    <t>2025년</t>
    <phoneticPr fontId="2" type="noConversion"/>
  </si>
  <si>
    <t>DQ34_1.</t>
    <phoneticPr fontId="2" type="noConversion"/>
  </si>
  <si>
    <t>투자시점
지사 지역
(해당시
서술기재)</t>
    <phoneticPr fontId="2" type="noConversion"/>
  </si>
  <si>
    <t>현재 지사
지역
(해당시
서술기재)</t>
    <phoneticPr fontId="2" type="noConversion"/>
  </si>
  <si>
    <t>2026년</t>
    <phoneticPr fontId="2" type="noConversion"/>
  </si>
  <si>
    <t>2027년</t>
    <phoneticPr fontId="2" type="noConversion"/>
  </si>
  <si>
    <r>
      <rPr>
        <sz val="11"/>
        <color theme="1"/>
        <rFont val="맑은 고딕"/>
        <family val="3"/>
        <charset val="129"/>
        <scheme val="minor"/>
      </rPr>
      <t xml:space="preserve">※ 2026년, 2027년은 </t>
    </r>
    <r>
      <rPr>
        <u/>
        <sz val="11"/>
        <color rgb="FFFF0000"/>
        <rFont val="맑은 고딕"/>
        <family val="3"/>
        <charset val="129"/>
        <scheme val="minor"/>
      </rPr>
      <t>'A11. 회수 예상 금액'</t>
    </r>
    <r>
      <rPr>
        <sz val="11"/>
        <color theme="1"/>
        <rFont val="맑은 고딕"/>
        <family val="3"/>
        <charset val="129"/>
        <scheme val="minor"/>
      </rPr>
      <t>만 입력</t>
    </r>
    <phoneticPr fontId="2" type="noConversion"/>
  </si>
  <si>
    <t>상장트랙
기타 내용
(서술기재)</t>
    <phoneticPr fontId="2" type="noConversion"/>
  </si>
  <si>
    <r>
      <t xml:space="preserve">A12. 운용펀드 수익률(멀티플) </t>
    </r>
    <r>
      <rPr>
        <sz val="9"/>
        <color theme="1"/>
        <rFont val="맑은 고딕"/>
        <family val="3"/>
        <charset val="129"/>
        <scheme val="minor"/>
      </rPr>
      <t>* 영업보고서상 해당연도 조합평가 비율 기재</t>
    </r>
    <phoneticPr fontId="2" type="noConversion"/>
  </si>
  <si>
    <r>
      <t xml:space="preserve">2. 조합정보 </t>
    </r>
    <r>
      <rPr>
        <b/>
        <sz val="10"/>
        <color rgb="FF0066FF"/>
        <rFont val="맑은 고딕"/>
        <family val="3"/>
        <charset val="129"/>
        <scheme val="minor"/>
      </rPr>
      <t>(2025.12.31 기준)</t>
    </r>
    <phoneticPr fontId="2" type="noConversion"/>
  </si>
  <si>
    <t>DQ01. 조합명</t>
    <phoneticPr fontId="2" type="noConversion"/>
  </si>
  <si>
    <t>DQ02. 조합형태(벤처투자조합, 신기사 등)</t>
    <phoneticPr fontId="2" type="noConversion"/>
  </si>
  <si>
    <t>DQ03. 펀드결성일</t>
    <phoneticPr fontId="2" type="noConversion"/>
  </si>
  <si>
    <t>DQ04. 청산일 (해당시)</t>
    <phoneticPr fontId="2" type="noConversion"/>
  </si>
  <si>
    <t>DQ05. 존속기간</t>
    <phoneticPr fontId="2" type="noConversion"/>
  </si>
  <si>
    <t>DQ06. 투자기간</t>
    <phoneticPr fontId="2" type="noConversion"/>
  </si>
  <si>
    <t>DQ07. 약정총액</t>
    <phoneticPr fontId="2" type="noConversion"/>
  </si>
  <si>
    <t>DQ08. 납입총액</t>
    <phoneticPr fontId="2" type="noConversion"/>
  </si>
  <si>
    <t>DQ09. 투자자산(원)</t>
    <phoneticPr fontId="2" type="noConversion"/>
  </si>
  <si>
    <t>DQ10. 미투자자산(원)</t>
    <phoneticPr fontId="2" type="noConversion"/>
  </si>
  <si>
    <t>DQ11. 배분총액(원)</t>
    <phoneticPr fontId="2" type="noConversion"/>
  </si>
  <si>
    <t>DQ12. 부산기업 의무투자 금액</t>
    <phoneticPr fontId="2" type="noConversion"/>
  </si>
  <si>
    <t>DQ13. 부산기업 집행 투자금액</t>
    <phoneticPr fontId="2" type="noConversion"/>
  </si>
  <si>
    <t>2026년 부산광역시 펀드 조성 및 성과분석('25.12.31 기준)</t>
    <phoneticPr fontId="2" type="noConversion"/>
  </si>
  <si>
    <t>최정원</t>
    <phoneticPr fontId="2" type="noConversion"/>
  </si>
  <si>
    <t>gardenchoi@lnsvc.co.kr / 010-9370-7378</t>
    <phoneticPr fontId="2" type="noConversion"/>
  </si>
  <si>
    <t>엘앤에스벤처캐피탈 주식회사</t>
    <phoneticPr fontId="2" type="noConversion"/>
  </si>
  <si>
    <t>장동식, 주성진</t>
    <phoneticPr fontId="2" type="noConversion"/>
  </si>
  <si>
    <t>(06178) 서울특별시 강남구 테헤란로 504, 해성1빌딩, 7층</t>
    <phoneticPr fontId="2" type="noConversion"/>
  </si>
  <si>
    <t>-</t>
    <phoneticPr fontId="2" type="noConversion"/>
  </si>
  <si>
    <t>감액 제외</t>
    <phoneticPr fontId="2" type="noConversion"/>
  </si>
  <si>
    <t>17명(대표이사 포함)</t>
    <phoneticPr fontId="2" type="noConversion"/>
  </si>
  <si>
    <t>엘앤에스 7호 동남권상생 투자조합</t>
    <phoneticPr fontId="2" type="noConversion"/>
  </si>
  <si>
    <t>벤처투자조합</t>
    <phoneticPr fontId="2" type="noConversion"/>
  </si>
  <si>
    <t>2026-11-02(예정)</t>
    <phoneticPr fontId="2" type="noConversion"/>
  </si>
  <si>
    <t>4년(2018년 11월 2일까지)</t>
    <phoneticPr fontId="2" type="noConversion"/>
  </si>
  <si>
    <t>8년(2012년 11월 2일까지)</t>
    <phoneticPr fontId="2" type="noConversion"/>
  </si>
  <si>
    <t>투자원금</t>
    <phoneticPr fontId="2" type="noConversion"/>
  </si>
  <si>
    <t>납입총액-투자원금</t>
    <phoneticPr fontId="2" type="noConversion"/>
  </si>
  <si>
    <t>에드게이트 홀딩스</t>
    <phoneticPr fontId="2" type="noConversion"/>
  </si>
  <si>
    <t>최초 투자시</t>
    <phoneticPr fontId="2" type="noConversion"/>
  </si>
  <si>
    <t>현재</t>
    <phoneticPr fontId="2" type="noConversion"/>
  </si>
  <si>
    <t>부산광역시 해운대구</t>
    <phoneticPr fontId="2" type="noConversion"/>
  </si>
  <si>
    <t>전남 목포시</t>
    <phoneticPr fontId="2" type="noConversion"/>
  </si>
  <si>
    <t>기준일</t>
    <phoneticPr fontId="2" type="noConversion"/>
  </si>
  <si>
    <t>엔에프</t>
    <phoneticPr fontId="2" type="noConversion"/>
  </si>
  <si>
    <t>부산광역시 기장군</t>
    <phoneticPr fontId="2" type="noConversion"/>
  </si>
  <si>
    <t>변경일</t>
    <phoneticPr fontId="2" type="noConversion"/>
  </si>
  <si>
    <t>메타센테라퓨틱스</t>
    <phoneticPr fontId="2" type="noConversion"/>
  </si>
  <si>
    <t>경기도 수원시</t>
    <phoneticPr fontId="2" type="noConversion"/>
  </si>
  <si>
    <t>센트비</t>
    <phoneticPr fontId="2" type="noConversion"/>
  </si>
  <si>
    <t>서울시</t>
    <phoneticPr fontId="2" type="noConversion"/>
  </si>
  <si>
    <t>한국해양바이오클러스터</t>
    <phoneticPr fontId="2" type="noConversion"/>
  </si>
  <si>
    <t>아론비행선박산업</t>
    <phoneticPr fontId="2" type="noConversion"/>
  </si>
  <si>
    <t>경남 사천시</t>
    <phoneticPr fontId="2" type="noConversion"/>
  </si>
  <si>
    <t>프리닉스</t>
    <phoneticPr fontId="2" type="noConversion"/>
  </si>
  <si>
    <t>미디어프론트</t>
    <phoneticPr fontId="2" type="noConversion"/>
  </si>
  <si>
    <t>선진환경</t>
    <phoneticPr fontId="2" type="noConversion"/>
  </si>
  <si>
    <t>부산광역시 강서구</t>
    <phoneticPr fontId="2" type="noConversion"/>
  </si>
  <si>
    <t>투자금액</t>
    <phoneticPr fontId="2" type="noConversion"/>
  </si>
  <si>
    <t>부산</t>
    <phoneticPr fontId="2" type="noConversion"/>
  </si>
  <si>
    <t>Y</t>
    <phoneticPr fontId="2" type="noConversion"/>
  </si>
  <si>
    <t>투자 시 부산</t>
    <phoneticPr fontId="2" type="noConversion"/>
  </si>
  <si>
    <t>현재 부산</t>
    <phoneticPr fontId="2" type="noConversion"/>
  </si>
  <si>
    <t>폐업</t>
  </si>
  <si>
    <t>폐업</t>
    <phoneticPr fontId="2" type="noConversion"/>
  </si>
  <si>
    <t>25년 회수금액</t>
    <phoneticPr fontId="2" type="noConversion"/>
  </si>
  <si>
    <t>회수원금</t>
    <phoneticPr fontId="2" type="noConversion"/>
  </si>
  <si>
    <t>애드게이트홀딩스(주)</t>
    <phoneticPr fontId="2" type="noConversion"/>
  </si>
  <si>
    <t>(주)엔에프</t>
    <phoneticPr fontId="2" type="noConversion"/>
  </si>
  <si>
    <t>(주)센트비</t>
    <phoneticPr fontId="2" type="noConversion"/>
  </si>
  <si>
    <t>한국해양바이오클러스터(주)</t>
    <phoneticPr fontId="2" type="noConversion"/>
  </si>
  <si>
    <t>김경태</t>
    <phoneticPr fontId="2" type="noConversion"/>
  </si>
  <si>
    <t>광고대행 및 커피 가맹점 프랜차이즈</t>
    <phoneticPr fontId="2" type="noConversion"/>
  </si>
  <si>
    <t>107-87-42559</t>
    <phoneticPr fontId="2" type="noConversion"/>
  </si>
  <si>
    <t>110111-4449735</t>
    <phoneticPr fontId="2" type="noConversion"/>
  </si>
  <si>
    <t>라이프스타일</t>
  </si>
  <si>
    <t>광고 산업의 Cash Flow 보유을 통한 F&amp;B 프랜차이즈 확대</t>
    <phoneticPr fontId="2" type="noConversion"/>
  </si>
  <si>
    <t>시리즈 A</t>
  </si>
  <si>
    <t>부산광역시</t>
  </si>
  <si>
    <t>전라남도</t>
  </si>
  <si>
    <t>없음</t>
  </si>
  <si>
    <t>부울경 지역 60억원</t>
    <phoneticPr fontId="2" type="noConversion"/>
  </si>
  <si>
    <t>10명</t>
    <phoneticPr fontId="2" type="noConversion"/>
  </si>
  <si>
    <t>계획없음</t>
  </si>
  <si>
    <t>010-7999-6336</t>
    <phoneticPr fontId="2" type="noConversion"/>
  </si>
  <si>
    <t>kkt6345@hanmail.net</t>
    <phoneticPr fontId="2" type="noConversion"/>
  </si>
  <si>
    <t>010-9919-2531</t>
    <phoneticPr fontId="2" type="noConversion"/>
  </si>
  <si>
    <t>sklee@nfeco.co.kr</t>
    <phoneticPr fontId="2" type="noConversion"/>
  </si>
  <si>
    <t>이상곤</t>
    <phoneticPr fontId="2" type="noConversion"/>
  </si>
  <si>
    <t>최초 기관투자</t>
  </si>
  <si>
    <t>산소공급 헬스케어 디바이스 개발 및 제조</t>
    <phoneticPr fontId="2" type="noConversion"/>
  </si>
  <si>
    <t>균일한 농도의 산소공급 기술, 과산화수소와 반응속도를 조정 할 수 있는 촉매제 제조</t>
    <phoneticPr fontId="2" type="noConversion"/>
  </si>
  <si>
    <t>621-81-97238</t>
    <phoneticPr fontId="2" type="noConversion"/>
  </si>
  <si>
    <t>180111-0820795</t>
    <phoneticPr fontId="2" type="noConversion"/>
  </si>
  <si>
    <t>바이오 헬스</t>
  </si>
  <si>
    <t>바이오</t>
  </si>
  <si>
    <t>사업유지</t>
  </si>
  <si>
    <t>투자후 +6년</t>
  </si>
  <si>
    <t>투자후 +6년</t>
    <phoneticPr fontId="2" type="noConversion"/>
  </si>
  <si>
    <t>투자후 +7년</t>
  </si>
  <si>
    <t>투자후 +7년</t>
    <phoneticPr fontId="2" type="noConversion"/>
  </si>
  <si>
    <t>투자후 +8년</t>
  </si>
  <si>
    <t>투자후 +8년</t>
    <phoneticPr fontId="2" type="noConversion"/>
  </si>
  <si>
    <t>투자후 +9년</t>
  </si>
  <si>
    <t>투자후 +9년</t>
    <phoneticPr fontId="2" type="noConversion"/>
  </si>
  <si>
    <t>최성욱</t>
    <phoneticPr fontId="2" type="noConversion"/>
  </si>
  <si>
    <t>해외 송금 서비스 플랫폼</t>
    <phoneticPr fontId="2" type="noConversion"/>
  </si>
  <si>
    <t>010-2868-3737</t>
    <phoneticPr fontId="2" type="noConversion"/>
  </si>
  <si>
    <t>alex@sentbe.com</t>
    <phoneticPr fontId="2" type="noConversion"/>
  </si>
  <si>
    <t>Pooling 방식 해외 송금 기술 및 라이선스</t>
    <phoneticPr fontId="2" type="noConversion"/>
  </si>
  <si>
    <t>618-88-00279</t>
    <phoneticPr fontId="2" type="noConversion"/>
  </si>
  <si>
    <t>110111-5845221</t>
    <phoneticPr fontId="2" type="noConversion"/>
  </si>
  <si>
    <t>금융</t>
  </si>
  <si>
    <t>서울특별시</t>
  </si>
  <si>
    <t>준비</t>
  </si>
  <si>
    <t>있음</t>
  </si>
  <si>
    <t>싱가포르</t>
    <phoneticPr fontId="2" type="noConversion"/>
  </si>
  <si>
    <t>김현모</t>
    <phoneticPr fontId="2" type="noConversion"/>
  </si>
  <si>
    <t>010-2564-0424</t>
    <phoneticPr fontId="2" type="noConversion"/>
  </si>
  <si>
    <t>biocluster@naver.com</t>
    <phoneticPr fontId="2" type="noConversion"/>
  </si>
  <si>
    <t>무취 미생물 생산 및 건강식품</t>
    <phoneticPr fontId="2" type="noConversion"/>
  </si>
  <si>
    <t>무취 미생물 생산 및 배양 기술</t>
    <phoneticPr fontId="2" type="noConversion"/>
  </si>
  <si>
    <t>180111-0993659</t>
    <phoneticPr fontId="2" type="noConversion"/>
  </si>
  <si>
    <t>601-81-36580</t>
    <phoneticPr fontId="2" type="noConversion"/>
  </si>
  <si>
    <t>010-9326-8208</t>
    <phoneticPr fontId="2" type="noConversion"/>
  </si>
  <si>
    <t>gapsan7183@naver.com</t>
    <phoneticPr fontId="2" type="noConversion"/>
  </si>
  <si>
    <t>이강우</t>
    <phoneticPr fontId="2" type="noConversion"/>
  </si>
  <si>
    <t>폐냉매 재생 및 폐기</t>
    <phoneticPr fontId="2" type="noConversion"/>
  </si>
  <si>
    <t>폐냉매 재생 기술 및 효율적 파괴 기술</t>
    <phoneticPr fontId="2" type="noConversion"/>
  </si>
  <si>
    <t>606-86-49654</t>
    <phoneticPr fontId="2" type="noConversion"/>
  </si>
  <si>
    <t>180111-0880278</t>
    <phoneticPr fontId="2" type="noConversion"/>
  </si>
  <si>
    <t>[투자전 밸류]
 - 기업가치 프리 65억원 / 5억원 투자 집행
[최근 밸류]
 - 기업가치 프리 1,800억원 / 제3자거래가 15,633원 / 최근 거래단가 기준 현재 지분가치 54억원
[최근 실적]
 - '25년 매출 315억원 / 영업손실 12억원 시현('24년 매출 305억원 / 영업손실 5억원)
[사업 현황]
 - 고환율이 지속되는 시장 상황 속에 전체 거래 규모는 소폭 감소('25년 송금액 3.96조 / '24년 4.3조 / '23년 2.5조)
 - 위메이드, CerTik, Chainalysis 와 원화 스테이블 코인 발행 협업 컨소시엄 MOU 체결로 신사업 후보군인 가상자산 비즈니스 기반 확보
 - B2B 부문 성과 고도화(PG 결제대행 사업 본격화, Metal&amp;Mining 산업군 대형 고객사 온보딩 및 거래 게시 등)
[IPO 계획]
 - 당소 '25을 목표로 추진 중이던 IPO는 산업 현황, 거래소의 상장 기조 등을 고려하여 '27년을 목표로 추진 중.
 - 상장시 예상 기업가치 3,000억원내외 기대</t>
    <phoneticPr fontId="2" type="noConversion"/>
  </si>
  <si>
    <t>미래에셋증권</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</si>
</sst>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0_ "/>
    <numFmt numFmtId="177" formatCode="#,##0.00_ "/>
    <numFmt numFmtId="178" formatCode="#,##0_);[Red]\(#,##0\)"/>
    <numFmt numFmtId="179" formatCode="_-* #,##0.00_-;\-* #,##0.00_-;_-* &quot;-&quot;_-;_-@_-"/>
  </numFmts>
  <fonts count="43">
    <font>
      <sz val="11"/>
      <color theme="1"/>
      <name val="맑은 고딕"/>
      <family val="2"/>
      <charset val="129"/>
      <scheme val="minor"/>
    </font>
    <font>
      <sz val="11"/>
      <color rgb="FFFF0000"/>
      <name val="맑은 고딕"/>
      <family val="2"/>
      <charset val="129"/>
      <scheme val="minor"/>
    </font>
    <font>
      <sz val="8"/>
      <name val="맑은 고딕"/>
      <family val="2"/>
      <charset val="129"/>
      <scheme val="minor"/>
    </font>
    <font>
      <sz val="11"/>
      <color theme="1"/>
      <name val="맑은 고딕"/>
      <family val="3"/>
      <charset val="129"/>
      <scheme val="minor"/>
    </font>
    <font>
      <b/>
      <sz val="18"/>
      <color theme="1"/>
      <name val="KoPub돋움체 Medium"/>
      <family val="3"/>
      <charset val="129"/>
    </font>
    <font>
      <sz val="11"/>
      <color theme="1"/>
      <name val="KoPub돋움체 Medium"/>
      <family val="3"/>
      <charset val="129"/>
    </font>
    <font>
      <sz val="10"/>
      <color theme="1"/>
      <name val="KoPub돋움체 Medium"/>
      <family val="3"/>
      <charset val="129"/>
    </font>
    <font>
      <b/>
      <sz val="9"/>
      <color indexed="81"/>
      <name val="Tahoma"/>
      <family val="2"/>
    </font>
    <font>
      <b/>
      <sz val="9"/>
      <color indexed="81"/>
      <name val="돋움"/>
      <family val="3"/>
      <charset val="129"/>
    </font>
    <font>
      <sz val="9"/>
      <color theme="1" tint="0.499984740745262"/>
      <name val="KoPub돋움체 Medium"/>
      <family val="3"/>
      <charset val="129"/>
    </font>
    <font>
      <b/>
      <sz val="11"/>
      <color theme="1"/>
      <name val="맑은 고딕"/>
      <family val="3"/>
      <charset val="129"/>
      <scheme val="minor"/>
    </font>
    <font>
      <sz val="11"/>
      <color theme="1"/>
      <name val="맑은 고딕"/>
      <family val="2"/>
      <charset val="129"/>
      <scheme val="minor"/>
    </font>
    <font>
      <sz val="11"/>
      <name val="맑은 고딕"/>
      <family val="3"/>
      <charset val="129"/>
      <scheme val="minor"/>
    </font>
    <font>
      <sz val="10"/>
      <color theme="1"/>
      <name val="맑은 고딕"/>
      <family val="3"/>
      <charset val="129"/>
      <scheme val="minor"/>
    </font>
    <font>
      <i/>
      <sz val="10"/>
      <color rgb="FFFF0000"/>
      <name val="맑은 고딕"/>
      <family val="3"/>
      <charset val="129"/>
      <scheme val="minor"/>
    </font>
    <font>
      <sz val="10"/>
      <name val="맑은 고딕"/>
      <family val="3"/>
      <charset val="129"/>
      <scheme val="minor"/>
    </font>
    <font>
      <sz val="10"/>
      <color rgb="FFFF0000"/>
      <name val="맑은 고딕"/>
      <family val="3"/>
      <charset val="129"/>
      <scheme val="minor"/>
    </font>
    <font>
      <sz val="9"/>
      <color rgb="FFFF0000"/>
      <name val="KoPub돋움체 Medium"/>
      <family val="3"/>
      <charset val="129"/>
    </font>
    <font>
      <sz val="11"/>
      <color rgb="FFFF0000"/>
      <name val="맑은 고딕"/>
      <family val="3"/>
      <charset val="129"/>
      <scheme val="minor"/>
    </font>
    <font>
      <b/>
      <sz val="11"/>
      <color theme="1"/>
      <name val="맑은 고딕"/>
      <family val="2"/>
      <charset val="129"/>
      <scheme val="minor"/>
    </font>
    <font>
      <b/>
      <sz val="11"/>
      <color theme="1"/>
      <name val="KoPub돋움체 Medium"/>
      <family val="3"/>
      <charset val="129"/>
    </font>
    <font>
      <b/>
      <sz val="10"/>
      <color theme="1"/>
      <name val="KoPub돋움체 Medium"/>
      <family val="3"/>
      <charset val="129"/>
    </font>
    <font>
      <sz val="10"/>
      <color theme="1"/>
      <name val="맑은 고딕"/>
      <family val="2"/>
      <charset val="129"/>
      <scheme val="minor"/>
    </font>
    <font>
      <b/>
      <sz val="10"/>
      <color rgb="FFFF0066"/>
      <name val="KoPub돋움체 Medium"/>
      <family val="3"/>
      <charset val="129"/>
    </font>
    <font>
      <b/>
      <sz val="10"/>
      <color rgb="FFFF3300"/>
      <name val="KoPub돋움체 Medium"/>
      <family val="3"/>
      <charset val="129"/>
    </font>
    <font>
      <b/>
      <sz val="12"/>
      <color theme="1"/>
      <name val="맑은 고딕"/>
      <family val="3"/>
      <charset val="129"/>
      <scheme val="minor"/>
    </font>
    <font>
      <b/>
      <sz val="10"/>
      <color theme="1"/>
      <name val="맑은 고딕"/>
      <family val="3"/>
      <charset val="129"/>
      <scheme val="minor"/>
    </font>
    <font>
      <b/>
      <sz val="10"/>
      <color rgb="FF0066FF"/>
      <name val="맑은 고딕"/>
      <family val="3"/>
      <charset val="129"/>
      <scheme val="minor"/>
    </font>
    <font>
      <b/>
      <sz val="11"/>
      <name val="맑은 고딕"/>
      <family val="3"/>
      <charset val="129"/>
      <scheme val="minor"/>
    </font>
    <font>
      <sz val="11"/>
      <color theme="1" tint="0.499984740745262"/>
      <name val="맑은 고딕"/>
      <family val="3"/>
      <charset val="129"/>
      <scheme val="minor"/>
    </font>
    <font>
      <sz val="9"/>
      <color theme="1"/>
      <name val="맑은 고딕"/>
      <family val="3"/>
      <charset val="129"/>
      <scheme val="minor"/>
    </font>
    <font>
      <sz val="9"/>
      <name val="맑은 고딕"/>
      <family val="3"/>
      <charset val="129"/>
      <scheme val="minor"/>
    </font>
    <font>
      <sz val="9"/>
      <color theme="1" tint="0.499984740745262"/>
      <name val="맑은 고딕"/>
      <family val="3"/>
      <charset val="129"/>
      <scheme val="minor"/>
    </font>
    <font>
      <b/>
      <sz val="12"/>
      <name val="맑은 고딕"/>
      <family val="3"/>
      <charset val="129"/>
      <scheme val="minor"/>
    </font>
    <font>
      <b/>
      <sz val="10"/>
      <color rgb="FF0000FF"/>
      <name val="맑은 고딕"/>
      <family val="3"/>
      <charset val="129"/>
      <scheme val="minor"/>
    </font>
    <font>
      <sz val="9"/>
      <color theme="1" tint="0.499984740745262"/>
      <name val="KoPub돋움체 Medium"/>
      <family val="1"/>
      <charset val="129"/>
    </font>
    <font>
      <sz val="11"/>
      <color theme="1" tint="0.499984740745262"/>
      <name val="맑은 고딕"/>
      <family val="2"/>
      <charset val="129"/>
      <scheme val="minor"/>
    </font>
    <font>
      <b/>
      <sz val="10"/>
      <name val="맑은 고딕"/>
      <family val="3"/>
      <charset val="129"/>
      <scheme val="minor"/>
    </font>
    <font>
      <b/>
      <sz val="9"/>
      <color indexed="81"/>
      <name val="맑은 고딕"/>
      <family val="3"/>
      <charset val="129"/>
      <scheme val="minor"/>
    </font>
    <font>
      <sz val="9"/>
      <color indexed="81"/>
      <name val="맑은 고딕"/>
      <family val="3"/>
      <charset val="129"/>
      <scheme val="minor"/>
    </font>
    <font>
      <u/>
      <sz val="11"/>
      <color rgb="FFFF0000"/>
      <name val="맑은 고딕"/>
      <family val="3"/>
      <charset val="129"/>
      <scheme val="minor"/>
    </font>
    <font>
      <u/>
      <sz val="11"/>
      <color theme="10"/>
      <name val="맑은 고딕"/>
      <family val="2"/>
      <charset val="129"/>
      <scheme val="minor"/>
    </font>
    <font>
      <sz val="9"/>
      <color theme="1" tint="0.499984740745262"/>
      <name val="맑은 고딕"/>
      <family val="2"/>
      <charset val="129"/>
      <scheme val="minor"/>
    </font>
  </fonts>
  <fills count="1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rgb="FFCCFFCC"/>
        <bgColor indexed="64"/>
      </patternFill>
    </fill>
    <fill>
      <patternFill patternType="solid">
        <fgColor theme="0"/>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4" tint="0.79998168889431442"/>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style="medium">
        <color theme="3"/>
      </bottom>
      <diagonal/>
    </border>
    <border>
      <left/>
      <right/>
      <top/>
      <bottom style="medium">
        <color theme="3"/>
      </bottom>
      <diagonal/>
    </border>
    <border>
      <left/>
      <right style="medium">
        <color theme="3"/>
      </right>
      <top/>
      <bottom style="medium">
        <color theme="3"/>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rgb="FFFFC000"/>
      </left>
      <right style="medium">
        <color rgb="FFFFC000"/>
      </right>
      <top style="medium">
        <color rgb="FFFFC000"/>
      </top>
      <bottom style="medium">
        <color rgb="FFFFC000"/>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rgb="FFC00000"/>
      </left>
      <right style="thin">
        <color indexed="64"/>
      </right>
      <top style="medium">
        <color rgb="FFC00000"/>
      </top>
      <bottom style="medium">
        <color rgb="FFC00000"/>
      </bottom>
      <diagonal/>
    </border>
    <border>
      <left style="thin">
        <color indexed="64"/>
      </left>
      <right style="medium">
        <color rgb="FFC00000"/>
      </right>
      <top style="medium">
        <color rgb="FFC00000"/>
      </top>
      <bottom style="medium">
        <color rgb="FFC00000"/>
      </bottom>
      <diagonal/>
    </border>
    <border>
      <left style="thin">
        <color theme="3"/>
      </left>
      <right style="thin">
        <color theme="3"/>
      </right>
      <top style="thin">
        <color theme="3"/>
      </top>
      <bottom style="thin">
        <color theme="3"/>
      </bottom>
      <diagonal/>
    </border>
    <border>
      <left style="thin">
        <color theme="3"/>
      </left>
      <right/>
      <top style="thin">
        <color theme="3"/>
      </top>
      <bottom style="thin">
        <color theme="3"/>
      </bottom>
      <diagonal/>
    </border>
  </borders>
  <cellStyleXfs count="7">
    <xf numFmtId="0" fontId="0" fillId="0" borderId="0">
      <alignment vertical="center"/>
    </xf>
    <xf numFmtId="0" fontId="3" fillId="0" borderId="0">
      <alignment vertical="center"/>
    </xf>
    <xf numFmtId="0" fontId="3" fillId="0" borderId="0">
      <alignment vertical="center"/>
    </xf>
    <xf numFmtId="41" fontId="11" fillId="0" borderId="0" applyFont="0" applyFill="0" applyBorder="0" applyAlignment="0" applyProtection="0">
      <alignment vertical="center"/>
    </xf>
    <xf numFmtId="0" fontId="11" fillId="0" borderId="0">
      <alignment vertical="center"/>
    </xf>
    <xf numFmtId="41" fontId="11" fillId="0" borderId="0" applyFont="0" applyFill="0" applyBorder="0" applyAlignment="0" applyProtection="0">
      <alignment vertical="center"/>
    </xf>
    <xf numFmtId="0" fontId="41" fillId="0" borderId="0" applyNumberFormat="0" applyFill="0" applyBorder="0" applyAlignment="0" applyProtection="0">
      <alignment vertical="center"/>
    </xf>
  </cellStyleXfs>
  <cellXfs count="221">
    <xf numFmtId="0" fontId="0" fillId="0" borderId="0" xfId="0">
      <alignment vertical="center"/>
    </xf>
    <xf numFmtId="0" fontId="5" fillId="0" borderId="0" xfId="0" applyFont="1">
      <alignment vertical="center"/>
    </xf>
    <xf numFmtId="0" fontId="6" fillId="0" borderId="0" xfId="0" applyFont="1" applyAlignment="1">
      <alignment vertical="center" wrapText="1"/>
    </xf>
    <xf numFmtId="0" fontId="11" fillId="0" borderId="0" xfId="4">
      <alignment vertical="center"/>
    </xf>
    <xf numFmtId="0" fontId="5" fillId="0" borderId="0" xfId="4" applyFont="1">
      <alignment vertical="center"/>
    </xf>
    <xf numFmtId="0" fontId="13" fillId="0" borderId="0" xfId="0" applyFont="1" applyAlignment="1">
      <alignment horizontal="center" vertical="center"/>
    </xf>
    <xf numFmtId="41" fontId="13" fillId="0" borderId="0" xfId="3" applyFont="1" applyFill="1" applyBorder="1">
      <alignment vertical="center"/>
    </xf>
    <xf numFmtId="0" fontId="14" fillId="0" borderId="0" xfId="0" applyFont="1" applyAlignment="1">
      <alignment horizontal="center" vertical="center"/>
    </xf>
    <xf numFmtId="41" fontId="14" fillId="0" borderId="0" xfId="3" applyFont="1" applyFill="1" applyBorder="1">
      <alignment vertical="center"/>
    </xf>
    <xf numFmtId="0" fontId="13" fillId="0" borderId="0" xfId="0" applyFont="1" applyAlignment="1">
      <alignment horizontal="center"/>
    </xf>
    <xf numFmtId="41" fontId="15" fillId="0" borderId="0" xfId="3" applyFont="1" applyFill="1" applyBorder="1" applyAlignment="1"/>
    <xf numFmtId="14" fontId="15" fillId="0" borderId="0" xfId="0" applyNumberFormat="1" applyFont="1" applyAlignment="1">
      <alignment horizontal="center"/>
    </xf>
    <xf numFmtId="0" fontId="6" fillId="6" borderId="22" xfId="4" applyFont="1" applyFill="1" applyBorder="1" applyAlignment="1" applyProtection="1">
      <alignment horizontal="left" vertical="center" wrapText="1"/>
      <protection locked="0"/>
    </xf>
    <xf numFmtId="0" fontId="6" fillId="6" borderId="23" xfId="4" applyFont="1" applyFill="1" applyBorder="1" applyAlignment="1" applyProtection="1">
      <alignment horizontal="left" vertical="center" wrapText="1"/>
      <protection locked="0"/>
    </xf>
    <xf numFmtId="0" fontId="6" fillId="6" borderId="25" xfId="4" applyFont="1" applyFill="1" applyBorder="1" applyAlignment="1" applyProtection="1">
      <alignment horizontal="left" vertical="center" wrapText="1"/>
      <protection locked="0"/>
    </xf>
    <xf numFmtId="0" fontId="6" fillId="6" borderId="0" xfId="4" applyFont="1" applyFill="1" applyAlignment="1" applyProtection="1">
      <alignment horizontal="left" vertical="center" wrapText="1"/>
      <protection locked="0"/>
    </xf>
    <xf numFmtId="176" fontId="9" fillId="6" borderId="0" xfId="0" applyNumberFormat="1" applyFont="1" applyFill="1" applyAlignment="1">
      <alignment horizontal="center" vertical="center"/>
    </xf>
    <xf numFmtId="176" fontId="17" fillId="6" borderId="0" xfId="0" applyNumberFormat="1" applyFont="1" applyFill="1" applyAlignment="1">
      <alignment horizontal="right" vertical="center"/>
    </xf>
    <xf numFmtId="0" fontId="24" fillId="4" borderId="27" xfId="4" applyFont="1" applyFill="1" applyBorder="1" applyAlignment="1" applyProtection="1">
      <alignment horizontal="left" vertical="center" wrapText="1"/>
      <protection locked="0"/>
    </xf>
    <xf numFmtId="0" fontId="5" fillId="6" borderId="0" xfId="0" applyFont="1" applyFill="1" applyAlignment="1">
      <alignment horizontal="left" vertical="center"/>
    </xf>
    <xf numFmtId="0" fontId="0" fillId="6" borderId="0" xfId="0" applyFill="1" applyAlignment="1">
      <alignment horizontal="left" vertical="center"/>
    </xf>
    <xf numFmtId="0" fontId="19" fillId="0" borderId="0" xfId="0" applyFont="1">
      <alignment vertical="center"/>
    </xf>
    <xf numFmtId="0" fontId="3" fillId="0" borderId="0" xfId="0" applyFont="1">
      <alignment vertical="center"/>
    </xf>
    <xf numFmtId="176" fontId="31" fillId="0" borderId="1" xfId="0" applyNumberFormat="1" applyFont="1" applyBorder="1" applyAlignment="1">
      <alignment horizontal="center" vertical="center"/>
    </xf>
    <xf numFmtId="0" fontId="18" fillId="0" borderId="1" xfId="0" applyFont="1" applyBorder="1" applyAlignment="1">
      <alignment horizontal="left" vertical="center"/>
    </xf>
    <xf numFmtId="0" fontId="12" fillId="3" borderId="10" xfId="4" applyFont="1" applyFill="1" applyBorder="1">
      <alignment vertical="center"/>
    </xf>
    <xf numFmtId="0" fontId="12" fillId="3" borderId="17" xfId="4" applyFont="1" applyFill="1" applyBorder="1">
      <alignment vertical="center"/>
    </xf>
    <xf numFmtId="0" fontId="12" fillId="3" borderId="9" xfId="4" applyFont="1" applyFill="1" applyBorder="1">
      <alignment vertical="center"/>
    </xf>
    <xf numFmtId="0" fontId="25" fillId="0" borderId="0" xfId="0" applyFont="1">
      <alignment vertical="center"/>
    </xf>
    <xf numFmtId="0" fontId="30" fillId="0" borderId="0" xfId="0" applyFont="1" applyAlignment="1">
      <alignment horizontal="center" vertical="center"/>
    </xf>
    <xf numFmtId="176" fontId="32" fillId="0" borderId="1" xfId="0" applyNumberFormat="1" applyFont="1" applyBorder="1" applyAlignment="1">
      <alignment horizontal="center" vertical="center"/>
    </xf>
    <xf numFmtId="0" fontId="29" fillId="0" borderId="1" xfId="0" applyFont="1" applyBorder="1">
      <alignment vertical="center"/>
    </xf>
    <xf numFmtId="0" fontId="36" fillId="0" borderId="1" xfId="0" applyFont="1" applyBorder="1">
      <alignment vertical="center"/>
    </xf>
    <xf numFmtId="0" fontId="3" fillId="0" borderId="1" xfId="0" applyFont="1" applyBorder="1">
      <alignment vertical="center"/>
    </xf>
    <xf numFmtId="0" fontId="12" fillId="0" borderId="1" xfId="0" applyFont="1" applyBorder="1" applyAlignment="1">
      <alignment vertical="center" wrapText="1"/>
    </xf>
    <xf numFmtId="0" fontId="35" fillId="0" borderId="1" xfId="0" applyFont="1" applyBorder="1">
      <alignment vertical="center"/>
    </xf>
    <xf numFmtId="0" fontId="12" fillId="0" borderId="1" xfId="0" applyFont="1" applyBorder="1">
      <alignment vertical="center"/>
    </xf>
    <xf numFmtId="0" fontId="12" fillId="0" borderId="1" xfId="0" quotePrefix="1" applyFont="1" applyBorder="1">
      <alignment vertical="center"/>
    </xf>
    <xf numFmtId="0" fontId="0" fillId="0" borderId="1" xfId="0" applyBorder="1" applyAlignment="1">
      <alignment horizontal="center" vertical="center"/>
    </xf>
    <xf numFmtId="0" fontId="13" fillId="8" borderId="1" xfId="0" applyFont="1" applyFill="1" applyBorder="1" applyAlignment="1">
      <alignment horizontal="center" vertical="center" wrapText="1"/>
    </xf>
    <xf numFmtId="0" fontId="15" fillId="8"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13" fillId="0" borderId="0" xfId="0" applyFont="1" applyAlignment="1">
      <alignment horizontal="center" vertical="center" wrapText="1"/>
    </xf>
    <xf numFmtId="0" fontId="26" fillId="8" borderId="1" xfId="0" applyFont="1" applyFill="1" applyBorder="1" applyAlignment="1">
      <alignment horizontal="center" vertical="center"/>
    </xf>
    <xf numFmtId="0" fontId="37" fillId="8" borderId="1" xfId="0" applyFont="1" applyFill="1" applyBorder="1" applyAlignment="1">
      <alignment horizontal="center" vertical="center"/>
    </xf>
    <xf numFmtId="0" fontId="26" fillId="7" borderId="1" xfId="0" applyFont="1" applyFill="1" applyBorder="1" applyAlignment="1">
      <alignment horizontal="center" vertical="center"/>
    </xf>
    <xf numFmtId="0" fontId="26" fillId="4" borderId="1" xfId="0" applyFont="1" applyFill="1" applyBorder="1" applyAlignment="1">
      <alignment horizontal="center" vertical="center"/>
    </xf>
    <xf numFmtId="0" fontId="26" fillId="9" borderId="1" xfId="0" applyFont="1" applyFill="1" applyBorder="1" applyAlignment="1">
      <alignment horizontal="center" vertical="center"/>
    </xf>
    <xf numFmtId="0" fontId="26" fillId="0" borderId="0" xfId="0" applyFont="1" applyAlignment="1">
      <alignment horizontal="center" vertical="center"/>
    </xf>
    <xf numFmtId="0" fontId="26" fillId="12" borderId="1" xfId="0" applyFont="1" applyFill="1" applyBorder="1" applyAlignment="1">
      <alignment horizontal="center" vertical="center"/>
    </xf>
    <xf numFmtId="0" fontId="13" fillId="12" borderId="1" xfId="0" applyFont="1" applyFill="1" applyBorder="1" applyAlignment="1">
      <alignment horizontal="center" vertical="center" wrapText="1"/>
    </xf>
    <xf numFmtId="0" fontId="26" fillId="13" borderId="1" xfId="0" applyFont="1" applyFill="1" applyBorder="1" applyAlignment="1">
      <alignment horizontal="center" vertical="center"/>
    </xf>
    <xf numFmtId="0" fontId="13" fillId="13" borderId="1" xfId="0" applyFont="1" applyFill="1" applyBorder="1" applyAlignment="1">
      <alignment horizontal="center" vertical="center" wrapText="1"/>
    </xf>
    <xf numFmtId="176" fontId="32" fillId="6" borderId="7" xfId="0" applyNumberFormat="1" applyFont="1" applyFill="1" applyBorder="1" applyAlignment="1">
      <alignment horizontal="center" vertical="center"/>
    </xf>
    <xf numFmtId="176" fontId="32" fillId="6" borderId="8" xfId="0" applyNumberFormat="1" applyFont="1" applyFill="1" applyBorder="1" applyAlignment="1">
      <alignment horizontal="center" vertical="center"/>
    </xf>
    <xf numFmtId="176" fontId="32" fillId="6" borderId="33" xfId="0" applyNumberFormat="1" applyFont="1" applyFill="1" applyBorder="1" applyAlignment="1">
      <alignment horizontal="center" vertical="center"/>
    </xf>
    <xf numFmtId="176" fontId="32" fillId="6" borderId="1" xfId="0" applyNumberFormat="1" applyFont="1" applyFill="1" applyBorder="1" applyAlignment="1">
      <alignment horizontal="center" vertical="center"/>
    </xf>
    <xf numFmtId="176" fontId="32" fillId="6" borderId="32" xfId="0" applyNumberFormat="1" applyFont="1" applyFill="1" applyBorder="1" applyAlignment="1">
      <alignment horizontal="center" vertical="center"/>
    </xf>
    <xf numFmtId="0" fontId="26" fillId="9" borderId="7" xfId="0" applyFont="1" applyFill="1" applyBorder="1" applyAlignment="1">
      <alignment horizontal="center" vertical="center"/>
    </xf>
    <xf numFmtId="0" fontId="10" fillId="10"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0" fillId="7" borderId="8" xfId="0" applyFont="1" applyFill="1" applyBorder="1" applyAlignment="1">
      <alignment horizontal="center" vertical="center" wrapText="1"/>
    </xf>
    <xf numFmtId="0" fontId="1" fillId="0" borderId="0" xfId="0" applyFont="1">
      <alignment vertical="center"/>
    </xf>
    <xf numFmtId="176" fontId="32" fillId="6" borderId="41" xfId="0" applyNumberFormat="1" applyFont="1" applyFill="1" applyBorder="1" applyAlignment="1">
      <alignment horizontal="center" vertical="center"/>
    </xf>
    <xf numFmtId="176" fontId="32" fillId="6" borderId="2" xfId="0" applyNumberFormat="1" applyFont="1" applyFill="1" applyBorder="1" applyAlignment="1">
      <alignment horizontal="center" vertical="center"/>
    </xf>
    <xf numFmtId="176" fontId="32" fillId="6" borderId="42" xfId="0" applyNumberFormat="1" applyFont="1" applyFill="1" applyBorder="1" applyAlignment="1">
      <alignment horizontal="center" vertical="center"/>
    </xf>
    <xf numFmtId="176" fontId="32" fillId="6" borderId="18" xfId="0" applyNumberFormat="1" applyFont="1" applyFill="1" applyBorder="1" applyAlignment="1">
      <alignment horizontal="center" vertical="center"/>
    </xf>
    <xf numFmtId="176" fontId="32" fillId="7" borderId="43" xfId="0" applyNumberFormat="1" applyFont="1" applyFill="1" applyBorder="1" applyAlignment="1">
      <alignment horizontal="center" vertical="center"/>
    </xf>
    <xf numFmtId="176" fontId="32" fillId="7" borderId="44" xfId="0" applyNumberFormat="1" applyFont="1" applyFill="1" applyBorder="1" applyAlignment="1">
      <alignment horizontal="center" vertical="center"/>
    </xf>
    <xf numFmtId="0" fontId="18" fillId="0" borderId="0" xfId="0" applyFont="1">
      <alignment vertical="center"/>
    </xf>
    <xf numFmtId="0" fontId="0" fillId="6" borderId="0" xfId="0" applyFill="1">
      <alignment vertical="center"/>
    </xf>
    <xf numFmtId="0" fontId="0" fillId="0" borderId="0" xfId="0" applyAlignment="1">
      <alignment horizontal="center" vertical="center"/>
    </xf>
    <xf numFmtId="14" fontId="0" fillId="0" borderId="0" xfId="0" applyNumberFormat="1" applyAlignment="1">
      <alignment horizontal="center" vertical="center"/>
    </xf>
    <xf numFmtId="41" fontId="0" fillId="0" borderId="0" xfId="3" applyFont="1" applyAlignment="1">
      <alignment horizontal="center" vertical="center"/>
    </xf>
    <xf numFmtId="177" fontId="32" fillId="6" borderId="1" xfId="0" applyNumberFormat="1" applyFont="1" applyFill="1" applyBorder="1" applyAlignment="1">
      <alignment horizontal="center" vertical="center"/>
    </xf>
    <xf numFmtId="14" fontId="12" fillId="0" borderId="1" xfId="0" applyNumberFormat="1" applyFont="1" applyBorder="1">
      <alignment vertical="center"/>
    </xf>
    <xf numFmtId="41" fontId="12" fillId="0" borderId="1" xfId="3" applyFont="1" applyBorder="1" applyAlignment="1">
      <alignment vertical="center" wrapText="1"/>
    </xf>
    <xf numFmtId="41" fontId="12" fillId="0" borderId="1" xfId="3" applyFont="1" applyBorder="1">
      <alignment vertical="center"/>
    </xf>
    <xf numFmtId="41" fontId="36" fillId="0" borderId="1" xfId="3" applyFont="1" applyBorder="1">
      <alignment vertical="center"/>
    </xf>
    <xf numFmtId="179" fontId="12" fillId="0" borderId="1" xfId="3" applyNumberFormat="1" applyFont="1" applyBorder="1" applyAlignment="1">
      <alignment vertical="center" wrapText="1"/>
    </xf>
    <xf numFmtId="0" fontId="41" fillId="0" borderId="1" xfId="6" applyBorder="1" applyAlignment="1">
      <alignment horizontal="center" vertical="center"/>
    </xf>
    <xf numFmtId="176" fontId="9" fillId="0" borderId="45" xfId="0" applyNumberFormat="1" applyFont="1" applyBorder="1" applyAlignment="1">
      <alignment horizontal="center" vertical="center"/>
    </xf>
    <xf numFmtId="176" fontId="9" fillId="0" borderId="46" xfId="0" applyNumberFormat="1" applyFont="1" applyBorder="1" applyAlignment="1">
      <alignment horizontal="center" vertical="center"/>
    </xf>
    <xf numFmtId="176" fontId="42" fillId="0" borderId="1" xfId="0" applyNumberFormat="1" applyFont="1" applyBorder="1">
      <alignment vertical="center"/>
    </xf>
    <xf numFmtId="41" fontId="29" fillId="0" borderId="1" xfId="3" applyFont="1" applyBorder="1">
      <alignment vertical="center"/>
    </xf>
    <xf numFmtId="14" fontId="3" fillId="0" borderId="1" xfId="0" applyNumberFormat="1" applyFont="1" applyBorder="1">
      <alignment vertical="center"/>
    </xf>
    <xf numFmtId="179" fontId="12" fillId="0" borderId="1" xfId="0" applyNumberFormat="1" applyFont="1" applyBorder="1" applyAlignment="1">
      <alignment vertical="center" wrapText="1"/>
    </xf>
    <xf numFmtId="176" fontId="18" fillId="0" borderId="1" xfId="0" applyNumberFormat="1" applyFont="1" applyBorder="1" applyAlignment="1">
      <alignment horizontal="left" vertical="center"/>
    </xf>
    <xf numFmtId="0" fontId="4" fillId="2" borderId="19" xfId="4" applyFont="1" applyFill="1" applyBorder="1" applyAlignment="1">
      <alignment horizontal="center" vertical="center"/>
    </xf>
    <xf numFmtId="0" fontId="4" fillId="2" borderId="20" xfId="4" applyFont="1" applyFill="1" applyBorder="1" applyAlignment="1">
      <alignment horizontal="center" vertical="center"/>
    </xf>
    <xf numFmtId="0" fontId="4" fillId="2" borderId="21" xfId="4" applyFont="1" applyFill="1" applyBorder="1" applyAlignment="1">
      <alignment horizontal="center" vertical="center"/>
    </xf>
    <xf numFmtId="0" fontId="4" fillId="2" borderId="22" xfId="4" applyFont="1" applyFill="1" applyBorder="1" applyAlignment="1">
      <alignment horizontal="center" vertical="center"/>
    </xf>
    <xf numFmtId="0" fontId="4" fillId="2" borderId="23" xfId="4" applyFont="1" applyFill="1" applyBorder="1" applyAlignment="1">
      <alignment horizontal="center" vertical="center"/>
    </xf>
    <xf numFmtId="0" fontId="4" fillId="2" borderId="24" xfId="4" applyFont="1" applyFill="1" applyBorder="1" applyAlignment="1">
      <alignment horizontal="center" vertical="center"/>
    </xf>
    <xf numFmtId="0" fontId="21" fillId="5" borderId="19" xfId="4" applyFont="1" applyFill="1" applyBorder="1" applyAlignment="1" applyProtection="1">
      <alignment horizontal="left" vertical="center" wrapText="1"/>
      <protection locked="0"/>
    </xf>
    <xf numFmtId="0" fontId="21" fillId="5" borderId="20" xfId="4" applyFont="1" applyFill="1" applyBorder="1" applyAlignment="1" applyProtection="1">
      <alignment horizontal="left" vertical="center" wrapText="1"/>
      <protection locked="0"/>
    </xf>
    <xf numFmtId="0" fontId="21" fillId="5" borderId="21" xfId="4" applyFont="1" applyFill="1" applyBorder="1" applyAlignment="1" applyProtection="1">
      <alignment horizontal="left" vertical="center" wrapText="1"/>
      <protection locked="0"/>
    </xf>
    <xf numFmtId="0" fontId="21" fillId="5" borderId="25" xfId="4" applyFont="1" applyFill="1" applyBorder="1" applyAlignment="1" applyProtection="1">
      <alignment horizontal="left" vertical="center" wrapText="1"/>
      <protection locked="0"/>
    </xf>
    <xf numFmtId="0" fontId="21" fillId="5" borderId="0" xfId="4" applyFont="1" applyFill="1" applyAlignment="1" applyProtection="1">
      <alignment horizontal="left" vertical="center" wrapText="1"/>
      <protection locked="0"/>
    </xf>
    <xf numFmtId="0" fontId="21" fillId="5" borderId="26" xfId="4" applyFont="1" applyFill="1" applyBorder="1" applyAlignment="1" applyProtection="1">
      <alignment horizontal="left" vertical="center" wrapText="1"/>
      <protection locked="0"/>
    </xf>
    <xf numFmtId="0" fontId="21" fillId="5" borderId="22" xfId="4" applyFont="1" applyFill="1" applyBorder="1" applyAlignment="1" applyProtection="1">
      <alignment horizontal="left" vertical="center" wrapText="1"/>
      <protection locked="0"/>
    </xf>
    <xf numFmtId="0" fontId="21" fillId="5" borderId="23" xfId="4" applyFont="1" applyFill="1" applyBorder="1" applyAlignment="1" applyProtection="1">
      <alignment horizontal="left" vertical="center" wrapText="1"/>
      <protection locked="0"/>
    </xf>
    <xf numFmtId="0" fontId="21" fillId="5" borderId="24" xfId="4" applyFont="1" applyFill="1" applyBorder="1" applyAlignment="1" applyProtection="1">
      <alignment horizontal="left" vertical="center" wrapText="1"/>
      <protection locked="0"/>
    </xf>
    <xf numFmtId="0" fontId="12" fillId="0" borderId="6" xfId="4" applyFont="1" applyBorder="1" applyAlignment="1">
      <alignment horizontal="left" vertical="center"/>
    </xf>
    <xf numFmtId="0" fontId="12" fillId="0" borderId="1" xfId="4" applyFont="1" applyBorder="1" applyAlignment="1">
      <alignment horizontal="left" vertical="center"/>
    </xf>
    <xf numFmtId="0" fontId="18" fillId="0" borderId="1" xfId="4" applyFont="1" applyBorder="1" applyAlignment="1">
      <alignment horizontal="center" vertical="center"/>
    </xf>
    <xf numFmtId="0" fontId="18" fillId="0" borderId="8" xfId="4" applyFont="1" applyBorder="1" applyAlignment="1">
      <alignment horizontal="center" vertical="center"/>
    </xf>
    <xf numFmtId="0" fontId="21" fillId="4" borderId="27" xfId="4" applyFont="1" applyFill="1" applyBorder="1" applyAlignment="1" applyProtection="1">
      <alignment horizontal="center" vertical="center" wrapText="1"/>
      <protection locked="0"/>
    </xf>
    <xf numFmtId="0" fontId="41" fillId="4" borderId="27" xfId="6" applyFill="1" applyBorder="1" applyAlignment="1" applyProtection="1">
      <alignment horizontal="center" vertical="center" wrapText="1"/>
      <protection locked="0"/>
    </xf>
    <xf numFmtId="0" fontId="33" fillId="2" borderId="19" xfId="4" applyFont="1" applyFill="1" applyBorder="1" applyAlignment="1">
      <alignment horizontal="left" vertical="center"/>
    </xf>
    <xf numFmtId="0" fontId="33" fillId="2" borderId="20" xfId="4" applyFont="1" applyFill="1" applyBorder="1" applyAlignment="1">
      <alignment horizontal="left" vertical="center"/>
    </xf>
    <xf numFmtId="0" fontId="33" fillId="2" borderId="21" xfId="4" applyFont="1" applyFill="1" applyBorder="1" applyAlignment="1">
      <alignment horizontal="left" vertical="center"/>
    </xf>
    <xf numFmtId="0" fontId="25" fillId="2" borderId="19" xfId="0" applyFont="1" applyFill="1" applyBorder="1" applyAlignment="1">
      <alignment horizontal="left" vertical="center"/>
    </xf>
    <xf numFmtId="0" fontId="25" fillId="2" borderId="20" xfId="0" applyFont="1" applyFill="1" applyBorder="1" applyAlignment="1">
      <alignment horizontal="left" vertical="center"/>
    </xf>
    <xf numFmtId="0" fontId="25" fillId="2" borderId="21" xfId="0" applyFont="1" applyFill="1" applyBorder="1" applyAlignment="1">
      <alignment horizontal="left" vertical="center"/>
    </xf>
    <xf numFmtId="0" fontId="3" fillId="3" borderId="9" xfId="0" applyFont="1" applyFill="1" applyBorder="1" applyAlignment="1">
      <alignment horizontal="left" vertical="center"/>
    </xf>
    <xf numFmtId="0" fontId="3" fillId="3" borderId="10" xfId="0" applyFont="1" applyFill="1" applyBorder="1" applyAlignment="1">
      <alignment horizontal="left" vertical="center"/>
    </xf>
    <xf numFmtId="0" fontId="3" fillId="3" borderId="17" xfId="0" applyFont="1" applyFill="1" applyBorder="1" applyAlignment="1">
      <alignment horizontal="left" vertical="center"/>
    </xf>
    <xf numFmtId="0" fontId="12" fillId="3" borderId="6" xfId="4" applyFont="1" applyFill="1" applyBorder="1" applyAlignment="1">
      <alignment horizontal="left" vertical="center"/>
    </xf>
    <xf numFmtId="0" fontId="12" fillId="3" borderId="1" xfId="4" applyFont="1" applyFill="1" applyBorder="1" applyAlignment="1">
      <alignment horizontal="left" vertical="center"/>
    </xf>
    <xf numFmtId="0" fontId="10" fillId="2" borderId="1" xfId="0" applyFont="1" applyFill="1" applyBorder="1" applyAlignment="1">
      <alignment horizontal="center" vertical="center"/>
    </xf>
    <xf numFmtId="0" fontId="3" fillId="3" borderId="31" xfId="0" applyFont="1" applyFill="1" applyBorder="1" applyAlignment="1">
      <alignment horizontal="left" vertical="center"/>
    </xf>
    <xf numFmtId="0" fontId="3" fillId="3" borderId="32" xfId="0" applyFont="1" applyFill="1" applyBorder="1" applyAlignment="1">
      <alignment horizontal="left" vertical="center"/>
    </xf>
    <xf numFmtId="0" fontId="3" fillId="3" borderId="6" xfId="0" applyFont="1" applyFill="1" applyBorder="1" applyAlignment="1">
      <alignment horizontal="left" vertical="center" wrapText="1"/>
    </xf>
    <xf numFmtId="0" fontId="3" fillId="3" borderId="1" xfId="0" applyFont="1" applyFill="1" applyBorder="1" applyAlignment="1">
      <alignment horizontal="left" vertical="center"/>
    </xf>
    <xf numFmtId="176" fontId="32" fillId="6" borderId="35" xfId="0" applyNumberFormat="1" applyFont="1" applyFill="1" applyBorder="1" applyAlignment="1">
      <alignment horizontal="center" vertical="center"/>
    </xf>
    <xf numFmtId="176" fontId="32" fillId="6" borderId="30" xfId="0" applyNumberFormat="1" applyFont="1" applyFill="1" applyBorder="1" applyAlignment="1">
      <alignment horizontal="center" vertical="center"/>
    </xf>
    <xf numFmtId="176" fontId="32" fillId="6" borderId="36" xfId="0" applyNumberFormat="1" applyFont="1" applyFill="1" applyBorder="1" applyAlignment="1">
      <alignment horizontal="center" vertical="center"/>
    </xf>
    <xf numFmtId="0" fontId="25" fillId="2" borderId="37" xfId="0" applyFont="1" applyFill="1" applyBorder="1" applyAlignment="1">
      <alignment horizontal="left" vertical="center"/>
    </xf>
    <xf numFmtId="0" fontId="25" fillId="2" borderId="38" xfId="0" applyFont="1" applyFill="1" applyBorder="1" applyAlignment="1">
      <alignment horizontal="left" vertical="center"/>
    </xf>
    <xf numFmtId="0" fontId="25" fillId="2" borderId="39" xfId="0" applyFont="1" applyFill="1" applyBorder="1" applyAlignment="1">
      <alignment horizontal="left" vertical="center"/>
    </xf>
    <xf numFmtId="176" fontId="32" fillId="6" borderId="7" xfId="0" applyNumberFormat="1" applyFont="1" applyFill="1" applyBorder="1" applyAlignment="1">
      <alignment horizontal="center" vertical="center"/>
    </xf>
    <xf numFmtId="176" fontId="32" fillId="6" borderId="10" xfId="0" applyNumberFormat="1" applyFont="1" applyFill="1" applyBorder="1" applyAlignment="1">
      <alignment horizontal="center" vertical="center"/>
    </xf>
    <xf numFmtId="176" fontId="32" fillId="6" borderId="28" xfId="0" applyNumberFormat="1" applyFont="1" applyFill="1" applyBorder="1" applyAlignment="1">
      <alignment horizontal="center" vertical="center"/>
    </xf>
    <xf numFmtId="0" fontId="12" fillId="3" borderId="9" xfId="4" applyFont="1" applyFill="1" applyBorder="1" applyAlignment="1">
      <alignment horizontal="left" vertical="center"/>
    </xf>
    <xf numFmtId="0" fontId="12" fillId="3" borderId="10" xfId="4" applyFont="1" applyFill="1" applyBorder="1" applyAlignment="1">
      <alignment horizontal="left" vertical="center"/>
    </xf>
    <xf numFmtId="0" fontId="12" fillId="3" borderId="17" xfId="4" applyFont="1" applyFill="1" applyBorder="1" applyAlignment="1">
      <alignment horizontal="left" vertical="center"/>
    </xf>
    <xf numFmtId="0" fontId="3" fillId="3" borderId="6" xfId="0" applyFont="1" applyFill="1" applyBorder="1" applyAlignment="1">
      <alignment horizontal="left" vertical="center"/>
    </xf>
    <xf numFmtId="0" fontId="12" fillId="0" borderId="31" xfId="4" applyFont="1" applyBorder="1">
      <alignment vertical="center"/>
    </xf>
    <xf numFmtId="0" fontId="12" fillId="0" borderId="32" xfId="4" applyFont="1" applyBorder="1">
      <alignment vertical="center"/>
    </xf>
    <xf numFmtId="176" fontId="31" fillId="0" borderId="32" xfId="4" applyNumberFormat="1" applyFont="1" applyBorder="1" applyAlignment="1">
      <alignment horizontal="center" vertical="center"/>
    </xf>
    <xf numFmtId="176" fontId="31" fillId="0" borderId="33" xfId="4" applyNumberFormat="1" applyFont="1" applyBorder="1" applyAlignment="1">
      <alignment horizontal="center" vertical="center"/>
    </xf>
    <xf numFmtId="176" fontId="31" fillId="0" borderId="1" xfId="4" applyNumberFormat="1" applyFont="1" applyBorder="1" applyAlignment="1">
      <alignment horizontal="center" vertical="center"/>
    </xf>
    <xf numFmtId="176" fontId="31" fillId="0" borderId="8" xfId="4" applyNumberFormat="1" applyFont="1" applyBorder="1" applyAlignment="1">
      <alignment horizontal="center" vertical="center"/>
    </xf>
    <xf numFmtId="0" fontId="12" fillId="0" borderId="6" xfId="4" applyFont="1" applyBorder="1">
      <alignment vertical="center"/>
    </xf>
    <xf numFmtId="0" fontId="12" fillId="0" borderId="1" xfId="4" applyFont="1" applyBorder="1">
      <alignment vertical="center"/>
    </xf>
    <xf numFmtId="178" fontId="18" fillId="0" borderId="1" xfId="3" applyNumberFormat="1" applyFont="1" applyBorder="1" applyAlignment="1">
      <alignment horizontal="center" vertical="center"/>
    </xf>
    <xf numFmtId="178" fontId="18" fillId="0" borderId="8" xfId="3" applyNumberFormat="1" applyFont="1" applyBorder="1" applyAlignment="1">
      <alignment horizontal="center" vertical="center"/>
    </xf>
    <xf numFmtId="178" fontId="18" fillId="0" borderId="1" xfId="3" applyNumberFormat="1" applyFont="1" applyFill="1" applyBorder="1" applyAlignment="1">
      <alignment horizontal="center" vertical="center"/>
    </xf>
    <xf numFmtId="178" fontId="18" fillId="0" borderId="8" xfId="3" applyNumberFormat="1"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16" fillId="0" borderId="19" xfId="0" quotePrefix="1" applyFont="1" applyBorder="1" applyAlignment="1">
      <alignment horizontal="left" vertical="center" wrapText="1"/>
    </xf>
    <xf numFmtId="0" fontId="16" fillId="0" borderId="20" xfId="0" quotePrefix="1" applyFont="1" applyBorder="1" applyAlignment="1">
      <alignment horizontal="left" vertical="center" wrapText="1"/>
    </xf>
    <xf numFmtId="0" fontId="16" fillId="0" borderId="21" xfId="0" quotePrefix="1" applyFont="1" applyBorder="1" applyAlignment="1">
      <alignment horizontal="left" vertical="center" wrapText="1"/>
    </xf>
    <xf numFmtId="0" fontId="16" fillId="0" borderId="25" xfId="0" quotePrefix="1" applyFont="1" applyBorder="1" applyAlignment="1">
      <alignment horizontal="left" vertical="center" wrapText="1"/>
    </xf>
    <xf numFmtId="0" fontId="16" fillId="0" borderId="0" xfId="0" quotePrefix="1" applyFont="1" applyAlignment="1">
      <alignment horizontal="left" vertical="center" wrapText="1"/>
    </xf>
    <xf numFmtId="0" fontId="16" fillId="0" borderId="26" xfId="0" quotePrefix="1" applyFont="1" applyBorder="1" applyAlignment="1">
      <alignment horizontal="left" vertical="center" wrapText="1"/>
    </xf>
    <xf numFmtId="0" fontId="16" fillId="0" borderId="22" xfId="0" quotePrefix="1" applyFont="1" applyBorder="1" applyAlignment="1">
      <alignment horizontal="left" vertical="center" wrapText="1"/>
    </xf>
    <xf numFmtId="0" fontId="16" fillId="0" borderId="23" xfId="0" quotePrefix="1" applyFont="1" applyBorder="1" applyAlignment="1">
      <alignment horizontal="left" vertical="center" wrapText="1"/>
    </xf>
    <xf numFmtId="0" fontId="16" fillId="0" borderId="24" xfId="0" quotePrefix="1" applyFont="1" applyBorder="1" applyAlignment="1">
      <alignment horizontal="left" vertical="center" wrapText="1"/>
    </xf>
    <xf numFmtId="0" fontId="3" fillId="6" borderId="9" xfId="0" applyFont="1" applyFill="1" applyBorder="1" applyAlignment="1">
      <alignment horizontal="left" vertical="center"/>
    </xf>
    <xf numFmtId="0" fontId="3" fillId="6" borderId="10" xfId="0" applyFont="1" applyFill="1" applyBorder="1" applyAlignment="1">
      <alignment horizontal="left" vertical="center"/>
    </xf>
    <xf numFmtId="0" fontId="3" fillId="6" borderId="17" xfId="0" applyFont="1" applyFill="1" applyBorder="1" applyAlignment="1">
      <alignment horizontal="left" vertical="center"/>
    </xf>
    <xf numFmtId="0" fontId="3" fillId="6" borderId="29" xfId="0" applyFont="1" applyFill="1" applyBorder="1" applyAlignment="1">
      <alignment horizontal="left" vertical="center"/>
    </xf>
    <xf numFmtId="0" fontId="3" fillId="6" borderId="30" xfId="0" applyFont="1" applyFill="1" applyBorder="1" applyAlignment="1">
      <alignment horizontal="left" vertical="center"/>
    </xf>
    <xf numFmtId="0" fontId="3" fillId="6" borderId="34" xfId="0" applyFont="1" applyFill="1" applyBorder="1" applyAlignment="1">
      <alignment horizontal="left" vertical="center"/>
    </xf>
    <xf numFmtId="0" fontId="22" fillId="0" borderId="19" xfId="0" quotePrefix="1" applyFont="1" applyBorder="1" applyAlignment="1">
      <alignment horizontal="left" vertical="center" wrapText="1"/>
    </xf>
    <xf numFmtId="0" fontId="22" fillId="0" borderId="20" xfId="0" applyFont="1" applyBorder="1" applyAlignment="1">
      <alignment horizontal="left" vertical="center" wrapText="1"/>
    </xf>
    <xf numFmtId="0" fontId="22" fillId="0" borderId="21" xfId="0" applyFont="1" applyBorder="1" applyAlignment="1">
      <alignment horizontal="left" vertical="center" wrapText="1"/>
    </xf>
    <xf numFmtId="0" fontId="22" fillId="0" borderId="25" xfId="0" applyFont="1" applyBorder="1" applyAlignment="1">
      <alignment horizontal="left" vertical="center" wrapText="1"/>
    </xf>
    <xf numFmtId="0" fontId="22" fillId="0" borderId="0" xfId="0" applyFont="1" applyAlignment="1">
      <alignment horizontal="left" vertical="center" wrapText="1"/>
    </xf>
    <xf numFmtId="0" fontId="22" fillId="0" borderId="26" xfId="0" applyFont="1" applyBorder="1" applyAlignment="1">
      <alignment horizontal="left" vertical="center" wrapText="1"/>
    </xf>
    <xf numFmtId="0" fontId="22" fillId="0" borderId="22" xfId="0" applyFont="1" applyBorder="1" applyAlignment="1">
      <alignment horizontal="left" vertical="center" wrapText="1"/>
    </xf>
    <xf numFmtId="0" fontId="22" fillId="0" borderId="23" xfId="0" applyFont="1" applyBorder="1" applyAlignment="1">
      <alignment horizontal="left" vertical="center" wrapText="1"/>
    </xf>
    <xf numFmtId="0" fontId="22" fillId="0" borderId="24" xfId="0" applyFont="1" applyBorder="1" applyAlignment="1">
      <alignment horizontal="left" vertical="center" wrapText="1"/>
    </xf>
    <xf numFmtId="0" fontId="3" fillId="3" borderId="19" xfId="0" applyFont="1" applyFill="1" applyBorder="1" applyAlignment="1">
      <alignment horizontal="center" vertical="center"/>
    </xf>
    <xf numFmtId="0" fontId="3" fillId="3" borderId="20" xfId="0" applyFont="1" applyFill="1" applyBorder="1" applyAlignment="1">
      <alignment horizontal="center" vertical="center"/>
    </xf>
    <xf numFmtId="0" fontId="3" fillId="3" borderId="21" xfId="0" applyFont="1" applyFill="1" applyBorder="1" applyAlignment="1">
      <alignment horizontal="center" vertical="center"/>
    </xf>
    <xf numFmtId="0" fontId="25" fillId="2" borderId="3" xfId="0" applyFont="1" applyFill="1" applyBorder="1" applyAlignment="1">
      <alignment horizontal="left" vertical="center"/>
    </xf>
    <xf numFmtId="0" fontId="25" fillId="2" borderId="4" xfId="0" applyFont="1" applyFill="1" applyBorder="1" applyAlignment="1">
      <alignment horizontal="left" vertical="center"/>
    </xf>
    <xf numFmtId="0" fontId="25" fillId="2" borderId="5" xfId="0" applyFont="1" applyFill="1" applyBorder="1" applyAlignment="1">
      <alignment horizontal="left" vertical="center"/>
    </xf>
    <xf numFmtId="0" fontId="1" fillId="0" borderId="19" xfId="0" quotePrefix="1" applyFont="1" applyBorder="1" applyAlignment="1">
      <alignment horizontal="left" vertical="center" wrapText="1"/>
    </xf>
    <xf numFmtId="0" fontId="18" fillId="0" borderId="20" xfId="0" quotePrefix="1" applyFont="1" applyBorder="1" applyAlignment="1">
      <alignment horizontal="left" vertical="center" wrapText="1"/>
    </xf>
    <xf numFmtId="0" fontId="18" fillId="0" borderId="21" xfId="0" quotePrefix="1" applyFont="1" applyBorder="1" applyAlignment="1">
      <alignment horizontal="left" vertical="center" wrapText="1"/>
    </xf>
    <xf numFmtId="0" fontId="18" fillId="0" borderId="25" xfId="0" quotePrefix="1" applyFont="1" applyBorder="1" applyAlignment="1">
      <alignment horizontal="left" vertical="center" wrapText="1"/>
    </xf>
    <xf numFmtId="0" fontId="18" fillId="0" borderId="0" xfId="0" quotePrefix="1" applyFont="1" applyAlignment="1">
      <alignment horizontal="left" vertical="center" wrapText="1"/>
    </xf>
    <xf numFmtId="0" fontId="18" fillId="0" borderId="26" xfId="0" quotePrefix="1" applyFont="1" applyBorder="1" applyAlignment="1">
      <alignment horizontal="left" vertical="center" wrapText="1"/>
    </xf>
    <xf numFmtId="0" fontId="18" fillId="0" borderId="22" xfId="0" quotePrefix="1" applyFont="1" applyBorder="1" applyAlignment="1">
      <alignment horizontal="left" vertical="center" wrapText="1"/>
    </xf>
    <xf numFmtId="0" fontId="18" fillId="0" borderId="23" xfId="0" quotePrefix="1" applyFont="1" applyBorder="1" applyAlignment="1">
      <alignment horizontal="left" vertical="center" wrapText="1"/>
    </xf>
    <xf numFmtId="0" fontId="18" fillId="0" borderId="24" xfId="0" quotePrefix="1" applyFont="1" applyBorder="1" applyAlignment="1">
      <alignment horizontal="left" vertical="center" wrapText="1"/>
    </xf>
    <xf numFmtId="0" fontId="15" fillId="0" borderId="1" xfId="0" applyFont="1" applyBorder="1" applyAlignment="1">
      <alignment horizontal="center" vertical="center"/>
    </xf>
    <xf numFmtId="0" fontId="15" fillId="0" borderId="8" xfId="0" applyFont="1" applyBorder="1" applyAlignment="1">
      <alignment horizontal="center" vertical="center"/>
    </xf>
    <xf numFmtId="14" fontId="15" fillId="0" borderId="1" xfId="0" applyNumberFormat="1" applyFont="1" applyBorder="1" applyAlignment="1">
      <alignment horizontal="center" vertical="center"/>
    </xf>
    <xf numFmtId="176" fontId="15" fillId="0" borderId="1" xfId="0" applyNumberFormat="1" applyFont="1" applyBorder="1" applyAlignment="1">
      <alignment horizontal="center" vertical="center"/>
    </xf>
    <xf numFmtId="176" fontId="15" fillId="0" borderId="8" xfId="0" applyNumberFormat="1" applyFont="1" applyBorder="1" applyAlignment="1">
      <alignment horizontal="center" vertical="center"/>
    </xf>
    <xf numFmtId="0" fontId="3" fillId="3" borderId="29" xfId="0" applyFont="1" applyFill="1" applyBorder="1" applyAlignment="1">
      <alignment horizontal="left" vertical="center"/>
    </xf>
    <xf numFmtId="0" fontId="3" fillId="3" borderId="30" xfId="0" applyFont="1" applyFill="1" applyBorder="1" applyAlignment="1">
      <alignment horizontal="left" vertical="center"/>
    </xf>
    <xf numFmtId="176" fontId="15" fillId="0" borderId="32" xfId="0" applyNumberFormat="1" applyFont="1" applyBorder="1" applyAlignment="1">
      <alignment horizontal="center" vertical="center"/>
    </xf>
    <xf numFmtId="176" fontId="15" fillId="0" borderId="33" xfId="0" applyNumberFormat="1" applyFont="1" applyBorder="1" applyAlignment="1">
      <alignment horizontal="center" vertical="center"/>
    </xf>
    <xf numFmtId="0" fontId="26" fillId="4" borderId="1" xfId="0" applyFont="1" applyFill="1" applyBorder="1" applyAlignment="1">
      <alignment horizontal="center" vertical="center"/>
    </xf>
    <xf numFmtId="0" fontId="26" fillId="7" borderId="1" xfId="0" applyFont="1" applyFill="1" applyBorder="1" applyAlignment="1">
      <alignment horizontal="center" vertical="center"/>
    </xf>
    <xf numFmtId="0" fontId="26" fillId="9" borderId="1" xfId="0" applyFont="1" applyFill="1" applyBorder="1" applyAlignment="1">
      <alignment horizontal="center" vertical="center"/>
    </xf>
    <xf numFmtId="0" fontId="25" fillId="3" borderId="40" xfId="0" applyFont="1" applyFill="1" applyBorder="1" applyAlignment="1">
      <alignment horizontal="left" vertical="center"/>
    </xf>
    <xf numFmtId="0" fontId="25" fillId="3" borderId="0" xfId="0" applyFont="1" applyFill="1" applyAlignment="1">
      <alignment horizontal="left" vertical="center"/>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14" xfId="0" applyFont="1" applyFill="1" applyBorder="1" applyAlignment="1">
      <alignment horizontal="center" vertical="center"/>
    </xf>
    <xf numFmtId="0" fontId="4" fillId="2" borderId="15" xfId="0" applyFont="1" applyFill="1" applyBorder="1" applyAlignment="1">
      <alignment horizontal="center" vertical="center"/>
    </xf>
    <xf numFmtId="0" fontId="4" fillId="2" borderId="16" xfId="0" applyFont="1" applyFill="1" applyBorder="1" applyAlignment="1">
      <alignment horizontal="center" vertical="center"/>
    </xf>
    <xf numFmtId="0" fontId="25" fillId="11" borderId="0" xfId="0" applyFont="1" applyFill="1" applyAlignment="1">
      <alignment horizontal="left" vertical="center"/>
    </xf>
    <xf numFmtId="0" fontId="26" fillId="3" borderId="2" xfId="0" applyFont="1" applyFill="1" applyBorder="1" applyAlignment="1">
      <alignment horizontal="center" vertical="center"/>
    </xf>
    <xf numFmtId="0" fontId="26" fillId="3" borderId="18" xfId="0" applyFont="1" applyFill="1" applyBorder="1" applyAlignment="1">
      <alignment horizontal="center" vertical="center"/>
    </xf>
    <xf numFmtId="0" fontId="26" fillId="3" borderId="1" xfId="0" applyFont="1" applyFill="1" applyBorder="1" applyAlignment="1">
      <alignment horizontal="center" vertical="center" wrapText="1"/>
    </xf>
  </cellXfs>
  <cellStyles count="7">
    <cellStyle name="쉼표 [0]" xfId="3" builtinId="6"/>
    <cellStyle name="쉼표 [0] 2" xfId="5" xr:uid="{6C2B9319-DEC8-4A78-B835-95A6B5F9E9B9}"/>
    <cellStyle name="표준" xfId="0" builtinId="0"/>
    <cellStyle name="표준 2" xfId="2" xr:uid="{7EA2FD6A-4389-4D07-971F-DFFC2BFBDA5C}"/>
    <cellStyle name="표준 3" xfId="1" xr:uid="{EF9DDCD6-9B7E-41BE-AF85-9E20E2A85E92}"/>
    <cellStyle name="표준 3 2" xfId="4" xr:uid="{F8839CC6-A497-4080-8D3C-E86951ABF931}"/>
    <cellStyle name="하이퍼링크" xfId="6" builtinId="8"/>
  </cellStyles>
  <dxfs count="0"/>
  <tableStyles count="0" defaultTableStyle="TableStyleMedium2" defaultPivotStyle="PivotStyleLight16"/>
  <colors>
    <mruColors>
      <color rgb="FF0000FF"/>
      <color rgb="FF0066FF"/>
      <color rgb="FFFF66FF"/>
      <color rgb="FFFF3300"/>
      <color rgb="FFFF0066"/>
      <color rgb="FFFF6600"/>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6</xdr:row>
      <xdr:rowOff>38100</xdr:rowOff>
    </xdr:from>
    <xdr:to>
      <xdr:col>6</xdr:col>
      <xdr:colOff>178786</xdr:colOff>
      <xdr:row>33</xdr:row>
      <xdr:rowOff>172640</xdr:rowOff>
    </xdr:to>
    <xdr:pic>
      <xdr:nvPicPr>
        <xdr:cNvPr id="2" name="그림 1">
          <a:extLst>
            <a:ext uri="{FF2B5EF4-FFF2-40B4-BE49-F238E27FC236}">
              <a16:creationId xmlns:a16="http://schemas.microsoft.com/office/drawing/2014/main" id="{6FB95253-DA13-43E6-987A-A25A9AFCC057}"/>
            </a:ext>
          </a:extLst>
        </xdr:cNvPr>
        <xdr:cNvPicPr>
          <a:picLocks noChangeAspect="1"/>
        </xdr:cNvPicPr>
      </xdr:nvPicPr>
      <xdr:blipFill>
        <a:blip xmlns:r="http://schemas.openxmlformats.org/officeDocument/2006/relationships" r:embed="rId1"/>
        <a:stretch>
          <a:fillRect/>
        </a:stretch>
      </xdr:blipFill>
      <xdr:spPr>
        <a:xfrm>
          <a:off x="28575" y="1323975"/>
          <a:ext cx="4265011" cy="5792390"/>
        </a:xfrm>
        <a:prstGeom prst="rect">
          <a:avLst/>
        </a:prstGeom>
      </xdr:spPr>
    </xdr:pic>
    <xdr:clientData/>
  </xdr:twoCellAnchor>
  <xdr:twoCellAnchor editAs="oneCell">
    <xdr:from>
      <xdr:col>7</xdr:col>
      <xdr:colOff>21851</xdr:colOff>
      <xdr:row>6</xdr:row>
      <xdr:rowOff>28575</xdr:rowOff>
    </xdr:from>
    <xdr:to>
      <xdr:col>16</xdr:col>
      <xdr:colOff>383801</xdr:colOff>
      <xdr:row>11</xdr:row>
      <xdr:rowOff>142730</xdr:rowOff>
    </xdr:to>
    <xdr:pic>
      <xdr:nvPicPr>
        <xdr:cNvPr id="3" name="그림 2">
          <a:extLst>
            <a:ext uri="{FF2B5EF4-FFF2-40B4-BE49-F238E27FC236}">
              <a16:creationId xmlns:a16="http://schemas.microsoft.com/office/drawing/2014/main" id="{85BC89E3-FEB0-46C8-87BB-EC2D3A5DFBB0}"/>
            </a:ext>
          </a:extLst>
        </xdr:cNvPr>
        <xdr:cNvPicPr>
          <a:picLocks noChangeAspect="1"/>
        </xdr:cNvPicPr>
      </xdr:nvPicPr>
      <xdr:blipFill>
        <a:blip xmlns:r="http://schemas.openxmlformats.org/officeDocument/2006/relationships" r:embed="rId2"/>
        <a:stretch>
          <a:fillRect/>
        </a:stretch>
      </xdr:blipFill>
      <xdr:spPr>
        <a:xfrm>
          <a:off x="4822451" y="1314450"/>
          <a:ext cx="6534150" cy="1161905"/>
        </a:xfrm>
        <a:prstGeom prst="rect">
          <a:avLst/>
        </a:prstGeom>
      </xdr:spPr>
    </xdr:pic>
    <xdr:clientData/>
  </xdr:twoCellAnchor>
  <xdr:twoCellAnchor editAs="oneCell">
    <xdr:from>
      <xdr:col>7</xdr:col>
      <xdr:colOff>28575</xdr:colOff>
      <xdr:row>14</xdr:row>
      <xdr:rowOff>26333</xdr:rowOff>
    </xdr:from>
    <xdr:to>
      <xdr:col>16</xdr:col>
      <xdr:colOff>489697</xdr:colOff>
      <xdr:row>20</xdr:row>
      <xdr:rowOff>85000</xdr:rowOff>
    </xdr:to>
    <xdr:pic>
      <xdr:nvPicPr>
        <xdr:cNvPr id="4" name="그림 3">
          <a:extLst>
            <a:ext uri="{FF2B5EF4-FFF2-40B4-BE49-F238E27FC236}">
              <a16:creationId xmlns:a16="http://schemas.microsoft.com/office/drawing/2014/main" id="{78D1B9E5-4DE5-43B9-AA40-D2C9C186362B}"/>
            </a:ext>
          </a:extLst>
        </xdr:cNvPr>
        <xdr:cNvPicPr>
          <a:picLocks noChangeAspect="1"/>
        </xdr:cNvPicPr>
      </xdr:nvPicPr>
      <xdr:blipFill>
        <a:blip xmlns:r="http://schemas.openxmlformats.org/officeDocument/2006/relationships" r:embed="rId3"/>
        <a:stretch>
          <a:fillRect/>
        </a:stretch>
      </xdr:blipFill>
      <xdr:spPr>
        <a:xfrm>
          <a:off x="4829175" y="2988608"/>
          <a:ext cx="6633322" cy="131596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최 정원" id="{252F4D7C-817B-4754-9000-B4E29E9BB172}" userId="S::gardenchoi@lnsvc.onmicrosoft.com::555f3538-a53c-4c91-83af-d05eb6f37d49" providerId="AD"/>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Z8" dT="2026-05-15T07:25:19.92" personId="{252F4D7C-817B-4754-9000-B4E29E9BB172}" id="{2BFDD971-B46A-47AD-8591-76F96F9A1E23}">
    <text>폐업으로 자료 수령 불가</text>
  </threadedComment>
  <threadedComment ref="BD9" dT="2026-05-15T06:29:03.94" personId="{252F4D7C-817B-4754-9000-B4E29E9BB172}" id="{31C8428E-AF2C-4A7D-8850-D43313405BA2}">
    <text>가결산</text>
  </threadedComment>
  <threadedComment ref="BE9" dT="2026-05-15T06:29:19.43" personId="{252F4D7C-817B-4754-9000-B4E29E9BB172}" id="{7795F868-C3C4-417E-BAED-F7CCB5B036AE}">
    <text>26.1Q 가결산 자료 내 전년도</text>
  </threadedComment>
  <threadedComment ref="BD11" dT="2026-05-15T07:25:29.85" personId="{252F4D7C-817B-4754-9000-B4E29E9BB172}" id="{9D585C53-B848-49FE-9D35-1F1F653B6C45}">
    <text>Exit로 자료 수령 불가</text>
  </threadedComment>
  <threadedComment ref="BC12" dT="2026-05-15T07:39:49.60" personId="{252F4D7C-817B-4754-9000-B4E29E9BB172}" id="{6E3A3883-0C53-43A8-9C10-30ACE75E3FB5}">
    <text>투자기업 자료 미제출</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gardenchoi@lnsvc.co.kr%20/%20010-9370-7378"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biocluster@naver.com" TargetMode="External"/><Relationship Id="rId13" Type="http://schemas.openxmlformats.org/officeDocument/2006/relationships/comments" Target="../comments1.xml"/><Relationship Id="rId3" Type="http://schemas.openxmlformats.org/officeDocument/2006/relationships/hyperlink" Target="mailto:sklee@nfeco.co.kr" TargetMode="External"/><Relationship Id="rId7" Type="http://schemas.openxmlformats.org/officeDocument/2006/relationships/hyperlink" Target="mailto:biocluster@naver.com" TargetMode="External"/><Relationship Id="rId12" Type="http://schemas.openxmlformats.org/officeDocument/2006/relationships/vmlDrawing" Target="../drawings/vmlDrawing1.vml"/><Relationship Id="rId2" Type="http://schemas.openxmlformats.org/officeDocument/2006/relationships/hyperlink" Target="mailto:kkt6345@hanmail.net" TargetMode="External"/><Relationship Id="rId1" Type="http://schemas.openxmlformats.org/officeDocument/2006/relationships/hyperlink" Target="mailto:kkt6345@hanmail.net" TargetMode="External"/><Relationship Id="rId6" Type="http://schemas.openxmlformats.org/officeDocument/2006/relationships/hyperlink" Target="mailto:alex@sentbe.com" TargetMode="External"/><Relationship Id="rId11" Type="http://schemas.openxmlformats.org/officeDocument/2006/relationships/printerSettings" Target="../printerSettings/printerSettings2.bin"/><Relationship Id="rId5" Type="http://schemas.openxmlformats.org/officeDocument/2006/relationships/hyperlink" Target="mailto:alex@sentbe.com" TargetMode="External"/><Relationship Id="rId10" Type="http://schemas.openxmlformats.org/officeDocument/2006/relationships/hyperlink" Target="mailto:gapsan7183@naver.com" TargetMode="External"/><Relationship Id="rId4" Type="http://schemas.openxmlformats.org/officeDocument/2006/relationships/hyperlink" Target="mailto:sklee@nfeco.co.kr" TargetMode="External"/><Relationship Id="rId9" Type="http://schemas.openxmlformats.org/officeDocument/2006/relationships/hyperlink" Target="mailto:gapsan7183@naver.com" TargetMode="External"/><Relationship Id="rId1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C38DA-B012-43A9-A7E4-4463AE0CED75}">
  <sheetPr>
    <pageSetUpPr fitToPage="1"/>
  </sheetPr>
  <dimension ref="A1:P90"/>
  <sheetViews>
    <sheetView tabSelected="1" topLeftCell="A13" zoomScale="85" zoomScaleNormal="85" workbookViewId="0">
      <selection activeCell="P25" sqref="P25"/>
    </sheetView>
  </sheetViews>
  <sheetFormatPr defaultRowHeight="16.5"/>
  <cols>
    <col min="1" max="1" width="12.375" customWidth="1"/>
    <col min="2" max="2" width="30" customWidth="1"/>
    <col min="3" max="3" width="14.25" customWidth="1"/>
    <col min="4" max="14" width="13.625" customWidth="1"/>
    <col min="16" max="16" width="12.875" bestFit="1" customWidth="1"/>
  </cols>
  <sheetData>
    <row r="1" spans="1:16" ht="17.25" thickBot="1"/>
    <row r="2" spans="1:16" ht="17.25" customHeight="1">
      <c r="A2" s="90" t="s">
        <v>6</v>
      </c>
      <c r="B2" s="91"/>
      <c r="C2" s="91"/>
      <c r="D2" s="91"/>
      <c r="E2" s="91"/>
      <c r="F2" s="91"/>
      <c r="G2" s="91"/>
      <c r="H2" s="91"/>
      <c r="I2" s="91"/>
      <c r="J2" s="91"/>
      <c r="K2" s="91"/>
      <c r="L2" s="91"/>
      <c r="M2" s="92"/>
    </row>
    <row r="3" spans="1:16" ht="17.25" customHeight="1" thickBot="1">
      <c r="A3" s="93"/>
      <c r="B3" s="94"/>
      <c r="C3" s="94"/>
      <c r="D3" s="94"/>
      <c r="E3" s="94"/>
      <c r="F3" s="94"/>
      <c r="G3" s="94"/>
      <c r="H3" s="94"/>
      <c r="I3" s="94"/>
      <c r="J3" s="94"/>
      <c r="K3" s="94"/>
      <c r="L3" s="94"/>
      <c r="M3" s="95"/>
    </row>
    <row r="4" spans="1:16" ht="17.25" thickBot="1">
      <c r="A4" s="4" t="s">
        <v>0</v>
      </c>
      <c r="B4" s="4"/>
      <c r="C4" s="4"/>
      <c r="D4" s="4"/>
      <c r="E4" s="4"/>
      <c r="F4" s="4"/>
      <c r="G4" s="4"/>
      <c r="H4" s="4"/>
      <c r="I4" s="4"/>
      <c r="J4" s="3"/>
      <c r="K4" s="3"/>
      <c r="L4" s="3"/>
      <c r="M4" s="3"/>
    </row>
    <row r="5" spans="1:16" ht="16.5" customHeight="1">
      <c r="A5" s="96" t="s">
        <v>50</v>
      </c>
      <c r="B5" s="97"/>
      <c r="C5" s="97"/>
      <c r="D5" s="97"/>
      <c r="E5" s="97"/>
      <c r="F5" s="97"/>
      <c r="G5" s="97"/>
      <c r="H5" s="97"/>
      <c r="I5" s="97"/>
      <c r="J5" s="97"/>
      <c r="K5" s="97"/>
      <c r="L5" s="97"/>
      <c r="M5" s="98"/>
    </row>
    <row r="6" spans="1:16">
      <c r="A6" s="99"/>
      <c r="B6" s="100"/>
      <c r="C6" s="100"/>
      <c r="D6" s="100"/>
      <c r="E6" s="100"/>
      <c r="F6" s="100"/>
      <c r="G6" s="100"/>
      <c r="H6" s="100"/>
      <c r="I6" s="100"/>
      <c r="J6" s="100"/>
      <c r="K6" s="100"/>
      <c r="L6" s="100"/>
      <c r="M6" s="101"/>
    </row>
    <row r="7" spans="1:16">
      <c r="A7" s="99"/>
      <c r="B7" s="100"/>
      <c r="C7" s="100"/>
      <c r="D7" s="100"/>
      <c r="E7" s="100"/>
      <c r="F7" s="100"/>
      <c r="G7" s="100"/>
      <c r="H7" s="100"/>
      <c r="I7" s="100"/>
      <c r="J7" s="100"/>
      <c r="K7" s="100"/>
      <c r="L7" s="100"/>
      <c r="M7" s="101"/>
    </row>
    <row r="8" spans="1:16">
      <c r="A8" s="99"/>
      <c r="B8" s="100"/>
      <c r="C8" s="100"/>
      <c r="D8" s="100"/>
      <c r="E8" s="100"/>
      <c r="F8" s="100"/>
      <c r="G8" s="100"/>
      <c r="H8" s="100"/>
      <c r="I8" s="100"/>
      <c r="J8" s="100"/>
      <c r="K8" s="100"/>
      <c r="L8" s="100"/>
      <c r="M8" s="101"/>
      <c r="O8" s="5"/>
      <c r="P8" s="5"/>
    </row>
    <row r="9" spans="1:16">
      <c r="A9" s="99"/>
      <c r="B9" s="100"/>
      <c r="C9" s="100"/>
      <c r="D9" s="100"/>
      <c r="E9" s="100"/>
      <c r="F9" s="100"/>
      <c r="G9" s="100"/>
      <c r="H9" s="100"/>
      <c r="I9" s="100"/>
      <c r="J9" s="100"/>
      <c r="K9" s="100"/>
      <c r="L9" s="100"/>
      <c r="M9" s="101"/>
      <c r="O9" s="5"/>
      <c r="P9" s="6"/>
    </row>
    <row r="10" spans="1:16">
      <c r="A10" s="99"/>
      <c r="B10" s="100"/>
      <c r="C10" s="100"/>
      <c r="D10" s="100"/>
      <c r="E10" s="100"/>
      <c r="F10" s="100"/>
      <c r="G10" s="100"/>
      <c r="H10" s="100"/>
      <c r="I10" s="100"/>
      <c r="J10" s="100"/>
      <c r="K10" s="100"/>
      <c r="L10" s="100"/>
      <c r="M10" s="101"/>
      <c r="O10" s="5"/>
      <c r="P10" s="6"/>
    </row>
    <row r="11" spans="1:16" ht="0.75" customHeight="1">
      <c r="A11" s="99"/>
      <c r="B11" s="100"/>
      <c r="C11" s="100"/>
      <c r="D11" s="100"/>
      <c r="E11" s="100"/>
      <c r="F11" s="100"/>
      <c r="G11" s="100"/>
      <c r="H11" s="100"/>
      <c r="I11" s="100"/>
      <c r="J11" s="100"/>
      <c r="K11" s="100"/>
      <c r="L11" s="100"/>
      <c r="M11" s="101"/>
      <c r="O11" s="5"/>
      <c r="P11" s="6"/>
    </row>
    <row r="12" spans="1:16" ht="15.75" customHeight="1" thickBot="1">
      <c r="A12" s="102"/>
      <c r="B12" s="103"/>
      <c r="C12" s="103"/>
      <c r="D12" s="103"/>
      <c r="E12" s="103"/>
      <c r="F12" s="103"/>
      <c r="G12" s="103"/>
      <c r="H12" s="103"/>
      <c r="I12" s="103"/>
      <c r="J12" s="103"/>
      <c r="K12" s="103"/>
      <c r="L12" s="103"/>
      <c r="M12" s="104"/>
      <c r="O12" s="7"/>
      <c r="P12" s="8"/>
    </row>
    <row r="13" spans="1:16" ht="17.25" thickBot="1">
      <c r="A13" s="14"/>
      <c r="B13" s="15"/>
      <c r="C13" s="15"/>
      <c r="D13" s="15"/>
      <c r="E13" s="15"/>
      <c r="F13" s="15"/>
      <c r="G13" s="15"/>
      <c r="H13" s="15"/>
      <c r="I13" s="15"/>
      <c r="J13" s="15"/>
      <c r="K13" s="15"/>
      <c r="L13" s="15"/>
      <c r="M13" s="15"/>
      <c r="O13" s="7"/>
      <c r="P13" s="8"/>
    </row>
    <row r="14" spans="1:16" ht="17.25" thickBot="1">
      <c r="A14" s="18" t="s">
        <v>9</v>
      </c>
      <c r="B14" s="109" t="s">
        <v>166</v>
      </c>
      <c r="C14" s="109"/>
      <c r="D14" s="15"/>
      <c r="E14" s="15"/>
      <c r="F14" s="15"/>
      <c r="G14" s="15"/>
      <c r="H14" s="15"/>
      <c r="I14" s="15"/>
      <c r="J14" s="15"/>
      <c r="K14" s="15"/>
      <c r="L14" s="15"/>
      <c r="M14" s="15"/>
      <c r="O14" s="7"/>
      <c r="P14" s="8"/>
    </row>
    <row r="15" spans="1:16" ht="24.75" thickBot="1">
      <c r="A15" s="18" t="s">
        <v>10</v>
      </c>
      <c r="B15" s="110" t="s">
        <v>167</v>
      </c>
      <c r="C15" s="109"/>
      <c r="D15" s="15"/>
      <c r="E15" s="15"/>
      <c r="F15" s="15"/>
      <c r="G15" s="15"/>
      <c r="H15" s="15"/>
      <c r="I15" s="15"/>
      <c r="J15" s="15"/>
      <c r="K15" s="15"/>
      <c r="L15" s="15"/>
      <c r="M15" s="15"/>
      <c r="O15" s="7"/>
      <c r="P15" s="8"/>
    </row>
    <row r="16" spans="1:16" ht="17.25" thickBot="1">
      <c r="A16" s="12"/>
      <c r="B16" s="13"/>
      <c r="C16" s="13"/>
      <c r="D16" s="13"/>
      <c r="E16" s="13"/>
      <c r="F16" s="13"/>
      <c r="G16" s="13"/>
      <c r="H16" s="13"/>
      <c r="I16" s="13"/>
      <c r="J16" s="13"/>
      <c r="K16" s="13"/>
      <c r="L16" s="13"/>
      <c r="M16" s="13"/>
      <c r="O16" s="7"/>
      <c r="P16" s="8"/>
    </row>
    <row r="17" spans="1:16" ht="17.25">
      <c r="A17" s="111" t="s">
        <v>22</v>
      </c>
      <c r="B17" s="112"/>
      <c r="C17" s="112"/>
      <c r="D17" s="112"/>
      <c r="E17" s="112"/>
      <c r="F17" s="112"/>
      <c r="G17" s="112"/>
      <c r="H17" s="112"/>
      <c r="I17" s="112"/>
      <c r="J17" s="112"/>
      <c r="K17" s="112"/>
      <c r="L17" s="112"/>
      <c r="M17" s="113"/>
      <c r="O17" s="7"/>
      <c r="P17" s="8"/>
    </row>
    <row r="18" spans="1:16">
      <c r="A18" s="105" t="s">
        <v>2</v>
      </c>
      <c r="B18" s="106"/>
      <c r="C18" s="106"/>
      <c r="D18" s="107" t="s">
        <v>168</v>
      </c>
      <c r="E18" s="107"/>
      <c r="F18" s="107"/>
      <c r="G18" s="107"/>
      <c r="H18" s="107"/>
      <c r="I18" s="107"/>
      <c r="J18" s="107"/>
      <c r="K18" s="107"/>
      <c r="L18" s="107"/>
      <c r="M18" s="108"/>
      <c r="O18" s="5"/>
      <c r="P18" s="6"/>
    </row>
    <row r="19" spans="1:16">
      <c r="A19" s="105" t="s">
        <v>27</v>
      </c>
      <c r="B19" s="106"/>
      <c r="C19" s="106"/>
      <c r="D19" s="107" t="s">
        <v>169</v>
      </c>
      <c r="E19" s="107"/>
      <c r="F19" s="107"/>
      <c r="G19" s="107"/>
      <c r="H19" s="107"/>
      <c r="I19" s="107"/>
      <c r="J19" s="107"/>
      <c r="K19" s="107"/>
      <c r="L19" s="107"/>
      <c r="M19" s="108"/>
      <c r="O19" s="5"/>
      <c r="P19" s="6"/>
    </row>
    <row r="20" spans="1:16">
      <c r="A20" s="105" t="s">
        <v>28</v>
      </c>
      <c r="B20" s="106"/>
      <c r="C20" s="106"/>
      <c r="D20" s="107" t="s">
        <v>170</v>
      </c>
      <c r="E20" s="107"/>
      <c r="F20" s="107"/>
      <c r="G20" s="107"/>
      <c r="H20" s="107"/>
      <c r="I20" s="107"/>
      <c r="J20" s="107"/>
      <c r="K20" s="107"/>
      <c r="L20" s="107"/>
      <c r="M20" s="108"/>
      <c r="O20" s="5"/>
      <c r="P20" s="6"/>
    </row>
    <row r="21" spans="1:16">
      <c r="A21" s="105" t="s">
        <v>29</v>
      </c>
      <c r="B21" s="106"/>
      <c r="C21" s="106"/>
      <c r="D21" s="107" t="s">
        <v>171</v>
      </c>
      <c r="E21" s="107"/>
      <c r="F21" s="107"/>
      <c r="G21" s="107"/>
      <c r="H21" s="107"/>
      <c r="I21" s="107"/>
      <c r="J21" s="107"/>
      <c r="K21" s="107"/>
      <c r="L21" s="107"/>
      <c r="M21" s="108"/>
      <c r="O21" s="5"/>
      <c r="P21" s="6"/>
    </row>
    <row r="22" spans="1:16">
      <c r="A22" s="105" t="s">
        <v>30</v>
      </c>
      <c r="B22" s="106"/>
      <c r="C22" s="106"/>
      <c r="D22" s="107">
        <v>21</v>
      </c>
      <c r="E22" s="107"/>
      <c r="F22" s="107"/>
      <c r="G22" s="107"/>
      <c r="H22" s="107"/>
      <c r="I22" s="107"/>
      <c r="J22" s="107"/>
      <c r="K22" s="107"/>
      <c r="L22" s="107"/>
      <c r="M22" s="108"/>
      <c r="O22" s="5"/>
      <c r="P22" s="6"/>
    </row>
    <row r="23" spans="1:16">
      <c r="A23" s="105" t="s">
        <v>31</v>
      </c>
      <c r="B23" s="106"/>
      <c r="C23" s="106"/>
      <c r="D23" s="148">
        <v>570263000000</v>
      </c>
      <c r="E23" s="148"/>
      <c r="F23" s="148"/>
      <c r="G23" s="148"/>
      <c r="H23" s="148"/>
      <c r="I23" s="148"/>
      <c r="J23" s="148"/>
      <c r="K23" s="148"/>
      <c r="L23" s="148"/>
      <c r="M23" s="149"/>
      <c r="O23" s="5"/>
      <c r="P23" s="6"/>
    </row>
    <row r="24" spans="1:16">
      <c r="A24" s="105" t="s">
        <v>51</v>
      </c>
      <c r="B24" s="106"/>
      <c r="C24" s="106"/>
      <c r="D24" s="150">
        <v>327584775300</v>
      </c>
      <c r="E24" s="150"/>
      <c r="F24" s="150"/>
      <c r="G24" s="150"/>
      <c r="H24" s="150"/>
      <c r="I24" s="150"/>
      <c r="J24" s="150"/>
      <c r="K24" s="150"/>
      <c r="L24" s="150"/>
      <c r="M24" s="151"/>
      <c r="N24" t="s">
        <v>172</v>
      </c>
      <c r="O24" s="5"/>
      <c r="P24" s="6"/>
    </row>
    <row r="25" spans="1:16">
      <c r="A25" s="105" t="s">
        <v>32</v>
      </c>
      <c r="B25" s="106"/>
      <c r="C25" s="106"/>
      <c r="D25" s="144" t="s">
        <v>173</v>
      </c>
      <c r="E25" s="144"/>
      <c r="F25" s="144"/>
      <c r="G25" s="144"/>
      <c r="H25" s="144"/>
      <c r="I25" s="144"/>
      <c r="J25" s="144"/>
      <c r="K25" s="144"/>
      <c r="L25" s="144"/>
      <c r="M25" s="145"/>
      <c r="N25" s="3"/>
      <c r="O25" s="5"/>
      <c r="P25" s="6"/>
    </row>
    <row r="26" spans="1:16">
      <c r="A26" s="105" t="s">
        <v>33</v>
      </c>
      <c r="B26" s="106"/>
      <c r="C26" s="106"/>
      <c r="D26" s="144" t="s">
        <v>225</v>
      </c>
      <c r="E26" s="144"/>
      <c r="F26" s="144"/>
      <c r="G26" s="144"/>
      <c r="H26" s="144"/>
      <c r="I26" s="144"/>
      <c r="J26" s="144"/>
      <c r="K26" s="144"/>
      <c r="L26" s="144"/>
      <c r="M26" s="145"/>
      <c r="N26" s="3"/>
      <c r="O26" s="9"/>
      <c r="P26" s="10"/>
    </row>
    <row r="27" spans="1:16">
      <c r="A27" s="146" t="s">
        <v>34</v>
      </c>
      <c r="B27" s="147"/>
      <c r="C27" s="147"/>
      <c r="D27" s="144" t="s">
        <v>171</v>
      </c>
      <c r="E27" s="144"/>
      <c r="F27" s="144"/>
      <c r="G27" s="144"/>
      <c r="H27" s="144"/>
      <c r="I27" s="144"/>
      <c r="J27" s="144"/>
      <c r="K27" s="144"/>
      <c r="L27" s="144"/>
      <c r="M27" s="145"/>
      <c r="N27" s="3"/>
    </row>
    <row r="28" spans="1:16" ht="17.25" thickBot="1">
      <c r="A28" s="140" t="s">
        <v>35</v>
      </c>
      <c r="B28" s="141"/>
      <c r="C28" s="141"/>
      <c r="D28" s="142" t="s">
        <v>171</v>
      </c>
      <c r="E28" s="142"/>
      <c r="F28" s="142"/>
      <c r="G28" s="142"/>
      <c r="H28" s="142"/>
      <c r="I28" s="142"/>
      <c r="J28" s="142"/>
      <c r="K28" s="142"/>
      <c r="L28" s="142"/>
      <c r="M28" s="143"/>
      <c r="N28" s="3"/>
      <c r="O28" s="9"/>
      <c r="P28" s="10"/>
    </row>
    <row r="29" spans="1:16" ht="17.25" thickBot="1">
      <c r="A29" s="2"/>
      <c r="B29" s="2"/>
      <c r="C29" s="2"/>
      <c r="D29" s="2"/>
      <c r="E29" s="2"/>
      <c r="F29" s="2"/>
      <c r="G29" s="2"/>
      <c r="H29" s="2"/>
      <c r="I29" s="2"/>
      <c r="O29" s="9"/>
      <c r="P29" s="10"/>
    </row>
    <row r="30" spans="1:16" ht="17.25">
      <c r="A30" s="114" t="s">
        <v>151</v>
      </c>
      <c r="B30" s="115"/>
      <c r="C30" s="115"/>
      <c r="D30" s="115"/>
      <c r="E30" s="115"/>
      <c r="F30" s="115"/>
      <c r="G30" s="115"/>
      <c r="H30" s="115"/>
      <c r="I30" s="115"/>
      <c r="J30" s="115"/>
      <c r="K30" s="115"/>
      <c r="L30" s="115"/>
      <c r="M30" s="116"/>
      <c r="O30" s="9"/>
      <c r="P30" s="10"/>
    </row>
    <row r="31" spans="1:16">
      <c r="A31" s="139" t="s">
        <v>152</v>
      </c>
      <c r="B31" s="126"/>
      <c r="C31" s="126"/>
      <c r="D31" s="197" t="s">
        <v>174</v>
      </c>
      <c r="E31" s="197"/>
      <c r="F31" s="197"/>
      <c r="G31" s="197"/>
      <c r="H31" s="197"/>
      <c r="I31" s="197"/>
      <c r="J31" s="197"/>
      <c r="K31" s="197"/>
      <c r="L31" s="197"/>
      <c r="M31" s="198"/>
      <c r="O31" s="11"/>
      <c r="P31" s="10"/>
    </row>
    <row r="32" spans="1:16">
      <c r="A32" s="139" t="s">
        <v>153</v>
      </c>
      <c r="B32" s="126"/>
      <c r="C32" s="126"/>
      <c r="D32" s="197" t="s">
        <v>175</v>
      </c>
      <c r="E32" s="197"/>
      <c r="F32" s="197"/>
      <c r="G32" s="197"/>
      <c r="H32" s="197"/>
      <c r="I32" s="197"/>
      <c r="J32" s="197"/>
      <c r="K32" s="197"/>
      <c r="L32" s="197"/>
      <c r="M32" s="198"/>
      <c r="O32" s="11"/>
      <c r="P32" s="10"/>
    </row>
    <row r="33" spans="1:16">
      <c r="A33" s="139" t="s">
        <v>154</v>
      </c>
      <c r="B33" s="126"/>
      <c r="C33" s="126"/>
      <c r="D33" s="199">
        <v>41946</v>
      </c>
      <c r="E33" s="197"/>
      <c r="F33" s="197"/>
      <c r="G33" s="197"/>
      <c r="H33" s="197"/>
      <c r="I33" s="197"/>
      <c r="J33" s="197"/>
      <c r="K33" s="197"/>
      <c r="L33" s="197"/>
      <c r="M33" s="198"/>
      <c r="O33" s="11"/>
      <c r="P33" s="10"/>
    </row>
    <row r="34" spans="1:16">
      <c r="A34" s="139" t="s">
        <v>155</v>
      </c>
      <c r="B34" s="126"/>
      <c r="C34" s="126"/>
      <c r="D34" s="199" t="s">
        <v>176</v>
      </c>
      <c r="E34" s="197"/>
      <c r="F34" s="197"/>
      <c r="G34" s="197"/>
      <c r="H34" s="197"/>
      <c r="I34" s="197"/>
      <c r="J34" s="197"/>
      <c r="K34" s="197"/>
      <c r="L34" s="197"/>
      <c r="M34" s="198"/>
      <c r="O34" s="11"/>
      <c r="P34" s="10"/>
    </row>
    <row r="35" spans="1:16">
      <c r="A35" s="139" t="s">
        <v>156</v>
      </c>
      <c r="B35" s="126"/>
      <c r="C35" s="126"/>
      <c r="D35" s="197" t="s">
        <v>178</v>
      </c>
      <c r="E35" s="197"/>
      <c r="F35" s="197"/>
      <c r="G35" s="197"/>
      <c r="H35" s="197"/>
      <c r="I35" s="197"/>
      <c r="J35" s="197"/>
      <c r="K35" s="197"/>
      <c r="L35" s="197"/>
      <c r="M35" s="198"/>
      <c r="O35" s="11"/>
      <c r="P35" s="10"/>
    </row>
    <row r="36" spans="1:16">
      <c r="A36" s="139" t="s">
        <v>157</v>
      </c>
      <c r="B36" s="126"/>
      <c r="C36" s="126"/>
      <c r="D36" s="197" t="s">
        <v>177</v>
      </c>
      <c r="E36" s="197"/>
      <c r="F36" s="197"/>
      <c r="G36" s="197"/>
      <c r="H36" s="197"/>
      <c r="I36" s="197"/>
      <c r="J36" s="197"/>
      <c r="K36" s="197"/>
      <c r="L36" s="197"/>
      <c r="M36" s="198"/>
      <c r="O36" s="11"/>
      <c r="P36" s="10"/>
    </row>
    <row r="37" spans="1:16">
      <c r="A37" s="139" t="s">
        <v>158</v>
      </c>
      <c r="B37" s="126"/>
      <c r="C37" s="126"/>
      <c r="D37" s="200">
        <v>9662500000</v>
      </c>
      <c r="E37" s="200"/>
      <c r="F37" s="200"/>
      <c r="G37" s="200"/>
      <c r="H37" s="200"/>
      <c r="I37" s="200"/>
      <c r="J37" s="200"/>
      <c r="K37" s="200"/>
      <c r="L37" s="200"/>
      <c r="M37" s="201"/>
      <c r="O37" s="11"/>
      <c r="P37" s="10"/>
    </row>
    <row r="38" spans="1:16">
      <c r="A38" s="139" t="s">
        <v>159</v>
      </c>
      <c r="B38" s="126"/>
      <c r="C38" s="126"/>
      <c r="D38" s="200">
        <v>9662500000</v>
      </c>
      <c r="E38" s="200"/>
      <c r="F38" s="200"/>
      <c r="G38" s="200"/>
      <c r="H38" s="200"/>
      <c r="I38" s="200"/>
      <c r="J38" s="200"/>
      <c r="K38" s="200"/>
      <c r="L38" s="200"/>
      <c r="M38" s="201"/>
      <c r="O38" s="11"/>
      <c r="P38" s="10"/>
    </row>
    <row r="39" spans="1:16">
      <c r="A39" s="139" t="s">
        <v>160</v>
      </c>
      <c r="B39" s="126"/>
      <c r="C39" s="126"/>
      <c r="D39" s="200">
        <v>8374707294</v>
      </c>
      <c r="E39" s="200"/>
      <c r="F39" s="200"/>
      <c r="G39" s="200"/>
      <c r="H39" s="200"/>
      <c r="I39" s="200"/>
      <c r="J39" s="200"/>
      <c r="K39" s="200"/>
      <c r="L39" s="200"/>
      <c r="M39" s="201"/>
      <c r="N39" t="s">
        <v>179</v>
      </c>
    </row>
    <row r="40" spans="1:16">
      <c r="A40" s="139" t="s">
        <v>161</v>
      </c>
      <c r="B40" s="126"/>
      <c r="C40" s="126"/>
      <c r="D40" s="200">
        <v>1287792706</v>
      </c>
      <c r="E40" s="200"/>
      <c r="F40" s="200"/>
      <c r="G40" s="200"/>
      <c r="H40" s="200"/>
      <c r="I40" s="200"/>
      <c r="J40" s="200"/>
      <c r="K40" s="200"/>
      <c r="L40" s="200"/>
      <c r="M40" s="201"/>
      <c r="N40" t="s">
        <v>180</v>
      </c>
    </row>
    <row r="41" spans="1:16">
      <c r="A41" s="139" t="s">
        <v>162</v>
      </c>
      <c r="B41" s="126"/>
      <c r="C41" s="126"/>
      <c r="D41" s="200" t="s">
        <v>171</v>
      </c>
      <c r="E41" s="200"/>
      <c r="F41" s="200"/>
      <c r="G41" s="200"/>
      <c r="H41" s="200"/>
      <c r="I41" s="200"/>
      <c r="J41" s="200"/>
      <c r="K41" s="200"/>
      <c r="L41" s="200"/>
      <c r="M41" s="201"/>
    </row>
    <row r="42" spans="1:16">
      <c r="A42" s="139" t="s">
        <v>163</v>
      </c>
      <c r="B42" s="126"/>
      <c r="C42" s="126"/>
      <c r="D42" s="200">
        <v>6000000000</v>
      </c>
      <c r="E42" s="200"/>
      <c r="F42" s="200"/>
      <c r="G42" s="200"/>
      <c r="H42" s="200"/>
      <c r="I42" s="200"/>
      <c r="J42" s="200"/>
      <c r="K42" s="200"/>
      <c r="L42" s="200"/>
      <c r="M42" s="201"/>
      <c r="N42" t="s">
        <v>224</v>
      </c>
    </row>
    <row r="43" spans="1:16" ht="17.25" thickBot="1">
      <c r="A43" s="202" t="s">
        <v>164</v>
      </c>
      <c r="B43" s="203"/>
      <c r="C43" s="203"/>
      <c r="D43" s="204">
        <v>4252134094</v>
      </c>
      <c r="E43" s="204"/>
      <c r="F43" s="204"/>
      <c r="G43" s="204"/>
      <c r="H43" s="204"/>
      <c r="I43" s="204"/>
      <c r="J43" s="204"/>
      <c r="K43" s="204"/>
      <c r="L43" s="204"/>
      <c r="M43" s="205"/>
      <c r="N43" t="s">
        <v>202</v>
      </c>
    </row>
    <row r="44" spans="1:16" ht="17.25" thickBot="1"/>
    <row r="45" spans="1:16" ht="17.25">
      <c r="A45" s="114" t="s">
        <v>23</v>
      </c>
      <c r="B45" s="115"/>
      <c r="C45" s="115"/>
      <c r="D45" s="115"/>
      <c r="E45" s="115"/>
      <c r="F45" s="116"/>
      <c r="M45" s="28"/>
      <c r="N45" s="28"/>
    </row>
    <row r="46" spans="1:16" ht="16.5" customHeight="1">
      <c r="A46" s="122" t="s">
        <v>1</v>
      </c>
      <c r="B46" s="122"/>
      <c r="C46" s="122"/>
      <c r="D46" s="61" t="s">
        <v>142</v>
      </c>
      <c r="E46" s="62" t="s">
        <v>146</v>
      </c>
      <c r="F46" s="63" t="s">
        <v>147</v>
      </c>
      <c r="G46" s="71" t="s">
        <v>148</v>
      </c>
      <c r="M46" s="29"/>
    </row>
    <row r="47" spans="1:16">
      <c r="A47" s="120" t="s">
        <v>11</v>
      </c>
      <c r="B47" s="121"/>
      <c r="C47" s="121"/>
      <c r="D47" s="58">
        <v>0</v>
      </c>
      <c r="E47" s="58"/>
      <c r="F47" s="56"/>
    </row>
    <row r="48" spans="1:16">
      <c r="A48" s="120" t="s">
        <v>36</v>
      </c>
      <c r="B48" s="121"/>
      <c r="C48" s="121"/>
      <c r="D48" s="58">
        <v>0</v>
      </c>
      <c r="E48" s="58"/>
      <c r="F48" s="56"/>
    </row>
    <row r="49" spans="1:14">
      <c r="A49" s="120" t="s">
        <v>37</v>
      </c>
      <c r="B49" s="121"/>
      <c r="C49" s="121"/>
      <c r="D49" s="58">
        <v>0</v>
      </c>
      <c r="E49" s="58"/>
      <c r="F49" s="56"/>
    </row>
    <row r="50" spans="1:14">
      <c r="A50" s="120" t="s">
        <v>38</v>
      </c>
      <c r="B50" s="121"/>
      <c r="C50" s="121"/>
      <c r="D50" s="58">
        <v>0</v>
      </c>
      <c r="E50" s="58"/>
      <c r="F50" s="56"/>
    </row>
    <row r="51" spans="1:14">
      <c r="A51" s="117" t="s">
        <v>39</v>
      </c>
      <c r="B51" s="118"/>
      <c r="C51" s="119"/>
      <c r="D51" s="58">
        <v>3</v>
      </c>
      <c r="E51" s="58"/>
      <c r="F51" s="56"/>
    </row>
    <row r="52" spans="1:14">
      <c r="A52" s="117" t="s">
        <v>40</v>
      </c>
      <c r="B52" s="118"/>
      <c r="C52" s="119"/>
      <c r="D52" s="58">
        <v>1</v>
      </c>
      <c r="E52" s="58"/>
      <c r="F52" s="56"/>
    </row>
    <row r="53" spans="1:14">
      <c r="A53" s="117" t="s">
        <v>41</v>
      </c>
      <c r="B53" s="118"/>
      <c r="C53" s="119"/>
      <c r="D53" s="58">
        <v>0</v>
      </c>
      <c r="E53" s="58"/>
      <c r="F53" s="56"/>
    </row>
    <row r="54" spans="1:14">
      <c r="A54" s="117" t="s">
        <v>42</v>
      </c>
      <c r="B54" s="118"/>
      <c r="C54" s="119"/>
      <c r="D54" s="58">
        <v>2</v>
      </c>
      <c r="E54" s="58"/>
      <c r="F54" s="56"/>
    </row>
    <row r="55" spans="1:14">
      <c r="A55" s="136" t="s">
        <v>43</v>
      </c>
      <c r="B55" s="137"/>
      <c r="C55" s="138"/>
      <c r="D55" s="58">
        <v>926993925</v>
      </c>
      <c r="E55" s="58"/>
      <c r="F55" s="56"/>
    </row>
    <row r="56" spans="1:14" ht="17.25" thickBot="1">
      <c r="A56" s="136" t="s">
        <v>44</v>
      </c>
      <c r="B56" s="137"/>
      <c r="C56" s="138"/>
      <c r="D56" s="58">
        <v>926993925</v>
      </c>
      <c r="E56" s="66"/>
      <c r="F56" s="65"/>
    </row>
    <row r="57" spans="1:14" ht="17.25" thickBot="1">
      <c r="A57" s="27" t="s">
        <v>45</v>
      </c>
      <c r="B57" s="25"/>
      <c r="C57" s="26"/>
      <c r="D57" s="55" t="s">
        <v>171</v>
      </c>
      <c r="E57" s="69"/>
      <c r="F57" s="70">
        <v>14908736950</v>
      </c>
      <c r="G57" s="64"/>
    </row>
    <row r="58" spans="1:14" ht="15.95" customHeight="1">
      <c r="A58" s="125" t="s">
        <v>150</v>
      </c>
      <c r="B58" s="126"/>
      <c r="C58" s="126"/>
      <c r="D58" s="76">
        <v>105.75</v>
      </c>
      <c r="E58" s="68"/>
      <c r="F58" s="67"/>
    </row>
    <row r="59" spans="1:14">
      <c r="A59" s="139" t="s">
        <v>13</v>
      </c>
      <c r="B59" s="126"/>
      <c r="C59" s="126"/>
      <c r="D59" s="58" t="s">
        <v>171</v>
      </c>
      <c r="E59" s="58"/>
      <c r="F59" s="56"/>
    </row>
    <row r="60" spans="1:14" ht="17.25" thickBot="1">
      <c r="A60" s="123" t="s">
        <v>46</v>
      </c>
      <c r="B60" s="124"/>
      <c r="C60" s="124"/>
      <c r="D60" s="59" t="s">
        <v>171</v>
      </c>
      <c r="E60" s="59"/>
      <c r="F60" s="57"/>
    </row>
    <row r="61" spans="1:14" ht="17.25" thickBot="1">
      <c r="A61" s="72"/>
      <c r="B61" s="19"/>
      <c r="C61" s="19"/>
      <c r="D61" s="16"/>
      <c r="E61" s="16"/>
      <c r="F61" s="16"/>
      <c r="G61" s="16"/>
      <c r="H61" s="16"/>
      <c r="I61" s="16"/>
      <c r="J61" s="17"/>
      <c r="K61" s="16"/>
      <c r="L61" s="16"/>
      <c r="M61" s="16"/>
      <c r="N61" s="21"/>
    </row>
    <row r="62" spans="1:14" ht="17.25">
      <c r="A62" s="130" t="s">
        <v>24</v>
      </c>
      <c r="B62" s="131"/>
      <c r="C62" s="131"/>
      <c r="D62" s="131"/>
      <c r="E62" s="131"/>
      <c r="F62" s="131"/>
      <c r="G62" s="131"/>
      <c r="H62" s="131"/>
      <c r="I62" s="131"/>
      <c r="J62" s="131"/>
      <c r="K62" s="131"/>
      <c r="L62" s="132"/>
    </row>
    <row r="63" spans="1:14">
      <c r="A63" s="167" t="s">
        <v>47</v>
      </c>
      <c r="B63" s="168"/>
      <c r="C63" s="169"/>
      <c r="D63" s="133">
        <v>0</v>
      </c>
      <c r="E63" s="134"/>
      <c r="F63" s="134"/>
      <c r="G63" s="134"/>
      <c r="H63" s="134"/>
      <c r="I63" s="134"/>
      <c r="J63" s="134"/>
      <c r="K63" s="134"/>
      <c r="L63" s="135"/>
    </row>
    <row r="64" spans="1:14">
      <c r="A64" s="167" t="s">
        <v>48</v>
      </c>
      <c r="B64" s="168"/>
      <c r="C64" s="169"/>
      <c r="D64" s="133">
        <v>0</v>
      </c>
      <c r="E64" s="134"/>
      <c r="F64" s="134"/>
      <c r="G64" s="134"/>
      <c r="H64" s="134"/>
      <c r="I64" s="134"/>
      <c r="J64" s="134"/>
      <c r="K64" s="134"/>
      <c r="L64" s="135"/>
    </row>
    <row r="65" spans="1:13" ht="17.25" thickBot="1">
      <c r="A65" s="170" t="s">
        <v>49</v>
      </c>
      <c r="B65" s="171"/>
      <c r="C65" s="172"/>
      <c r="D65" s="127">
        <v>0</v>
      </c>
      <c r="E65" s="128"/>
      <c r="F65" s="128"/>
      <c r="G65" s="128"/>
      <c r="H65" s="128"/>
      <c r="I65" s="128"/>
      <c r="J65" s="128"/>
      <c r="K65" s="128"/>
      <c r="L65" s="129"/>
    </row>
    <row r="66" spans="1:13" ht="17.25" thickBot="1">
      <c r="A66" s="19"/>
      <c r="B66" s="19"/>
      <c r="C66" s="20"/>
      <c r="D66" s="16"/>
      <c r="E66" s="16"/>
      <c r="F66" s="16"/>
      <c r="G66" s="16"/>
      <c r="H66" s="16"/>
      <c r="I66" s="16"/>
      <c r="J66" s="17"/>
      <c r="K66" s="16"/>
      <c r="L66" s="16"/>
      <c r="M66" s="16"/>
    </row>
    <row r="67" spans="1:13" ht="18" thickBot="1">
      <c r="A67" s="185" t="s">
        <v>25</v>
      </c>
      <c r="B67" s="186"/>
      <c r="C67" s="186"/>
      <c r="D67" s="186"/>
      <c r="E67" s="186"/>
      <c r="F67" s="186"/>
      <c r="G67" s="186"/>
      <c r="H67" s="186"/>
      <c r="I67" s="186"/>
      <c r="J67" s="186"/>
      <c r="K67" s="186"/>
      <c r="L67" s="186"/>
      <c r="M67" s="187"/>
    </row>
    <row r="68" spans="1:13" ht="17.25" thickBot="1">
      <c r="A68" s="22" t="s">
        <v>3</v>
      </c>
      <c r="B68" s="22"/>
      <c r="C68" s="22"/>
      <c r="D68" s="22"/>
      <c r="E68" s="22"/>
      <c r="F68" s="22"/>
      <c r="G68" s="22"/>
      <c r="H68" s="22"/>
      <c r="I68" s="22"/>
      <c r="J68" s="22"/>
      <c r="K68" s="22"/>
      <c r="L68" s="22"/>
      <c r="M68" s="22"/>
    </row>
    <row r="69" spans="1:13" ht="17.25" thickBot="1">
      <c r="A69" s="152" t="s">
        <v>4</v>
      </c>
      <c r="B69" s="153"/>
      <c r="C69" s="154"/>
      <c r="D69" s="155" t="s">
        <v>212</v>
      </c>
      <c r="E69" s="156"/>
      <c r="F69" s="156"/>
      <c r="G69" s="156"/>
      <c r="H69" s="156"/>
      <c r="I69" s="156"/>
      <c r="J69" s="156"/>
      <c r="K69" s="156"/>
      <c r="L69" s="156"/>
      <c r="M69" s="157"/>
    </row>
    <row r="70" spans="1:13">
      <c r="A70" s="188" t="s">
        <v>274</v>
      </c>
      <c r="B70" s="189"/>
      <c r="C70" s="189"/>
      <c r="D70" s="189"/>
      <c r="E70" s="189"/>
      <c r="F70" s="189"/>
      <c r="G70" s="189"/>
      <c r="H70" s="189"/>
      <c r="I70" s="189"/>
      <c r="J70" s="189"/>
      <c r="K70" s="189"/>
      <c r="L70" s="189"/>
      <c r="M70" s="190"/>
    </row>
    <row r="71" spans="1:13">
      <c r="A71" s="191"/>
      <c r="B71" s="192"/>
      <c r="C71" s="192"/>
      <c r="D71" s="192"/>
      <c r="E71" s="192"/>
      <c r="F71" s="192"/>
      <c r="G71" s="192"/>
      <c r="H71" s="192"/>
      <c r="I71" s="192"/>
      <c r="J71" s="192"/>
      <c r="K71" s="192"/>
      <c r="L71" s="192"/>
      <c r="M71" s="193"/>
    </row>
    <row r="72" spans="1:13">
      <c r="A72" s="191"/>
      <c r="B72" s="192"/>
      <c r="C72" s="192"/>
      <c r="D72" s="192"/>
      <c r="E72" s="192"/>
      <c r="F72" s="192"/>
      <c r="G72" s="192"/>
      <c r="H72" s="192"/>
      <c r="I72" s="192"/>
      <c r="J72" s="192"/>
      <c r="K72" s="192"/>
      <c r="L72" s="192"/>
      <c r="M72" s="193"/>
    </row>
    <row r="73" spans="1:13">
      <c r="A73" s="191"/>
      <c r="B73" s="192"/>
      <c r="C73" s="192"/>
      <c r="D73" s="192"/>
      <c r="E73" s="192"/>
      <c r="F73" s="192"/>
      <c r="G73" s="192"/>
      <c r="H73" s="192"/>
      <c r="I73" s="192"/>
      <c r="J73" s="192"/>
      <c r="K73" s="192"/>
      <c r="L73" s="192"/>
      <c r="M73" s="193"/>
    </row>
    <row r="74" spans="1:13" ht="183.75" customHeight="1" thickBot="1">
      <c r="A74" s="194"/>
      <c r="B74" s="195"/>
      <c r="C74" s="195"/>
      <c r="D74" s="195"/>
      <c r="E74" s="195"/>
      <c r="F74" s="195"/>
      <c r="G74" s="195"/>
      <c r="H74" s="195"/>
      <c r="I74" s="195"/>
      <c r="J74" s="195"/>
      <c r="K74" s="195"/>
      <c r="L74" s="195"/>
      <c r="M74" s="196"/>
    </row>
    <row r="76" spans="1:13" ht="17.25" thickBot="1">
      <c r="A76" s="1" t="s">
        <v>5</v>
      </c>
      <c r="B76" s="1"/>
      <c r="C76" s="1"/>
      <c r="D76" s="1"/>
      <c r="E76" s="1"/>
      <c r="F76" s="1"/>
      <c r="G76" s="1"/>
      <c r="H76" s="1"/>
      <c r="I76" s="1"/>
      <c r="J76" s="1"/>
      <c r="K76" s="1"/>
      <c r="L76" s="1"/>
      <c r="M76" s="1"/>
    </row>
    <row r="77" spans="1:13" ht="17.25" thickBot="1">
      <c r="A77" s="182" t="s">
        <v>4</v>
      </c>
      <c r="B77" s="183"/>
      <c r="C77" s="184"/>
      <c r="D77" s="155" t="s">
        <v>8</v>
      </c>
      <c r="E77" s="156"/>
      <c r="F77" s="156"/>
      <c r="G77" s="156"/>
      <c r="H77" s="156"/>
      <c r="I77" s="156"/>
      <c r="J77" s="156"/>
      <c r="K77" s="156"/>
      <c r="L77" s="156"/>
      <c r="M77" s="157"/>
    </row>
    <row r="78" spans="1:13">
      <c r="A78" s="173"/>
      <c r="B78" s="174"/>
      <c r="C78" s="174"/>
      <c r="D78" s="174"/>
      <c r="E78" s="174"/>
      <c r="F78" s="174"/>
      <c r="G78" s="174"/>
      <c r="H78" s="174"/>
      <c r="I78" s="174"/>
      <c r="J78" s="174"/>
      <c r="K78" s="174"/>
      <c r="L78" s="174"/>
      <c r="M78" s="175"/>
    </row>
    <row r="79" spans="1:13">
      <c r="A79" s="176"/>
      <c r="B79" s="177"/>
      <c r="C79" s="177"/>
      <c r="D79" s="177"/>
      <c r="E79" s="177"/>
      <c r="F79" s="177"/>
      <c r="G79" s="177"/>
      <c r="H79" s="177"/>
      <c r="I79" s="177"/>
      <c r="J79" s="177"/>
      <c r="K79" s="177"/>
      <c r="L79" s="177"/>
      <c r="M79" s="178"/>
    </row>
    <row r="80" spans="1:13">
      <c r="A80" s="176"/>
      <c r="B80" s="177"/>
      <c r="C80" s="177"/>
      <c r="D80" s="177"/>
      <c r="E80" s="177"/>
      <c r="F80" s="177"/>
      <c r="G80" s="177"/>
      <c r="H80" s="177"/>
      <c r="I80" s="177"/>
      <c r="J80" s="177"/>
      <c r="K80" s="177"/>
      <c r="L80" s="177"/>
      <c r="M80" s="178"/>
    </row>
    <row r="81" spans="1:13">
      <c r="A81" s="176"/>
      <c r="B81" s="177"/>
      <c r="C81" s="177"/>
      <c r="D81" s="177"/>
      <c r="E81" s="177"/>
      <c r="F81" s="177"/>
      <c r="G81" s="177"/>
      <c r="H81" s="177"/>
      <c r="I81" s="177"/>
      <c r="J81" s="177"/>
      <c r="K81" s="177"/>
      <c r="L81" s="177"/>
      <c r="M81" s="178"/>
    </row>
    <row r="82" spans="1:13" ht="17.25" thickBot="1">
      <c r="A82" s="179"/>
      <c r="B82" s="180"/>
      <c r="C82" s="180"/>
      <c r="D82" s="180"/>
      <c r="E82" s="180"/>
      <c r="F82" s="180"/>
      <c r="G82" s="180"/>
      <c r="H82" s="180"/>
      <c r="I82" s="180"/>
      <c r="J82" s="180"/>
      <c r="K82" s="180"/>
      <c r="L82" s="180"/>
      <c r="M82" s="181"/>
    </row>
    <row r="84" spans="1:13" ht="17.25" thickBot="1">
      <c r="A84" s="1" t="s">
        <v>14</v>
      </c>
      <c r="B84" s="1"/>
      <c r="C84" s="1"/>
      <c r="D84" s="1"/>
      <c r="E84" s="1"/>
      <c r="F84" s="1"/>
      <c r="G84" s="1"/>
      <c r="H84" s="1"/>
      <c r="I84" s="1"/>
      <c r="J84" s="1"/>
      <c r="K84" s="1"/>
      <c r="L84" s="1"/>
      <c r="M84" s="1"/>
    </row>
    <row r="85" spans="1:13" ht="17.25" thickBot="1">
      <c r="A85" s="152" t="s">
        <v>4</v>
      </c>
      <c r="B85" s="153"/>
      <c r="C85" s="154"/>
      <c r="D85" s="155" t="s">
        <v>7</v>
      </c>
      <c r="E85" s="156"/>
      <c r="F85" s="156"/>
      <c r="G85" s="156"/>
      <c r="H85" s="156"/>
      <c r="I85" s="156"/>
      <c r="J85" s="156"/>
      <c r="K85" s="156"/>
      <c r="L85" s="156"/>
      <c r="M85" s="157"/>
    </row>
    <row r="86" spans="1:13">
      <c r="A86" s="158"/>
      <c r="B86" s="159"/>
      <c r="C86" s="159"/>
      <c r="D86" s="159"/>
      <c r="E86" s="159"/>
      <c r="F86" s="159"/>
      <c r="G86" s="159"/>
      <c r="H86" s="159"/>
      <c r="I86" s="159"/>
      <c r="J86" s="159"/>
      <c r="K86" s="159"/>
      <c r="L86" s="159"/>
      <c r="M86" s="160"/>
    </row>
    <row r="87" spans="1:13">
      <c r="A87" s="161"/>
      <c r="B87" s="162"/>
      <c r="C87" s="162"/>
      <c r="D87" s="162"/>
      <c r="E87" s="162"/>
      <c r="F87" s="162"/>
      <c r="G87" s="162"/>
      <c r="H87" s="162"/>
      <c r="I87" s="162"/>
      <c r="J87" s="162"/>
      <c r="K87" s="162"/>
      <c r="L87" s="162"/>
      <c r="M87" s="163"/>
    </row>
    <row r="88" spans="1:13">
      <c r="A88" s="161"/>
      <c r="B88" s="162"/>
      <c r="C88" s="162"/>
      <c r="D88" s="162"/>
      <c r="E88" s="162"/>
      <c r="F88" s="162"/>
      <c r="G88" s="162"/>
      <c r="H88" s="162"/>
      <c r="I88" s="162"/>
      <c r="J88" s="162"/>
      <c r="K88" s="162"/>
      <c r="L88" s="162"/>
      <c r="M88" s="163"/>
    </row>
    <row r="89" spans="1:13">
      <c r="A89" s="161"/>
      <c r="B89" s="162"/>
      <c r="C89" s="162"/>
      <c r="D89" s="162"/>
      <c r="E89" s="162"/>
      <c r="F89" s="162"/>
      <c r="G89" s="162"/>
      <c r="H89" s="162"/>
      <c r="I89" s="162"/>
      <c r="J89" s="162"/>
      <c r="K89" s="162"/>
      <c r="L89" s="162"/>
      <c r="M89" s="163"/>
    </row>
    <row r="90" spans="1:13" ht="17.25" thickBot="1">
      <c r="A90" s="164"/>
      <c r="B90" s="165"/>
      <c r="C90" s="165"/>
      <c r="D90" s="165"/>
      <c r="E90" s="165"/>
      <c r="F90" s="165"/>
      <c r="G90" s="165"/>
      <c r="H90" s="165"/>
      <c r="I90" s="165"/>
      <c r="J90" s="165"/>
      <c r="K90" s="165"/>
      <c r="L90" s="165"/>
      <c r="M90" s="166"/>
    </row>
  </sheetData>
  <mergeCells count="86">
    <mergeCell ref="A42:C42"/>
    <mergeCell ref="D42:M42"/>
    <mergeCell ref="A43:C43"/>
    <mergeCell ref="D43:M43"/>
    <mergeCell ref="A39:C39"/>
    <mergeCell ref="D39:M39"/>
    <mergeCell ref="A40:C40"/>
    <mergeCell ref="D40:M40"/>
    <mergeCell ref="A41:C41"/>
    <mergeCell ref="D41:M41"/>
    <mergeCell ref="A36:C36"/>
    <mergeCell ref="D36:M36"/>
    <mergeCell ref="A37:C37"/>
    <mergeCell ref="D37:M37"/>
    <mergeCell ref="A38:C38"/>
    <mergeCell ref="D38:M38"/>
    <mergeCell ref="A33:C33"/>
    <mergeCell ref="D33:M33"/>
    <mergeCell ref="A34:C34"/>
    <mergeCell ref="D34:M34"/>
    <mergeCell ref="A35:C35"/>
    <mergeCell ref="D35:M35"/>
    <mergeCell ref="A30:M30"/>
    <mergeCell ref="A31:C31"/>
    <mergeCell ref="D31:M31"/>
    <mergeCell ref="A32:C32"/>
    <mergeCell ref="D32:M32"/>
    <mergeCell ref="A85:C85"/>
    <mergeCell ref="D85:M85"/>
    <mergeCell ref="A86:M90"/>
    <mergeCell ref="A63:C63"/>
    <mergeCell ref="A64:C64"/>
    <mergeCell ref="A65:C65"/>
    <mergeCell ref="A78:M82"/>
    <mergeCell ref="A77:C77"/>
    <mergeCell ref="D77:M77"/>
    <mergeCell ref="A67:M67"/>
    <mergeCell ref="A69:C69"/>
    <mergeCell ref="D69:M69"/>
    <mergeCell ref="A70:M74"/>
    <mergeCell ref="D21:M21"/>
    <mergeCell ref="A23:C23"/>
    <mergeCell ref="D23:M23"/>
    <mergeCell ref="A24:C24"/>
    <mergeCell ref="D24:M24"/>
    <mergeCell ref="A22:C22"/>
    <mergeCell ref="D22:M22"/>
    <mergeCell ref="A21:C21"/>
    <mergeCell ref="A28:C28"/>
    <mergeCell ref="D28:M28"/>
    <mergeCell ref="D25:M25"/>
    <mergeCell ref="A26:C26"/>
    <mergeCell ref="D26:M26"/>
    <mergeCell ref="A27:C27"/>
    <mergeCell ref="D27:M27"/>
    <mergeCell ref="A25:C25"/>
    <mergeCell ref="A60:C60"/>
    <mergeCell ref="A58:C58"/>
    <mergeCell ref="D65:L65"/>
    <mergeCell ref="A54:C54"/>
    <mergeCell ref="A53:C53"/>
    <mergeCell ref="A62:L62"/>
    <mergeCell ref="D63:L63"/>
    <mergeCell ref="D64:L64"/>
    <mergeCell ref="A56:C56"/>
    <mergeCell ref="A55:C55"/>
    <mergeCell ref="A59:C59"/>
    <mergeCell ref="A45:F45"/>
    <mergeCell ref="A52:C52"/>
    <mergeCell ref="A51:C51"/>
    <mergeCell ref="A48:C48"/>
    <mergeCell ref="A49:C49"/>
    <mergeCell ref="A47:C47"/>
    <mergeCell ref="A46:C46"/>
    <mergeCell ref="A50:C50"/>
    <mergeCell ref="A2:M3"/>
    <mergeCell ref="A5:M12"/>
    <mergeCell ref="A19:C19"/>
    <mergeCell ref="D19:M19"/>
    <mergeCell ref="A20:C20"/>
    <mergeCell ref="D20:M20"/>
    <mergeCell ref="B14:C14"/>
    <mergeCell ref="B15:C15"/>
    <mergeCell ref="A17:M17"/>
    <mergeCell ref="A18:C18"/>
    <mergeCell ref="D18:M18"/>
  </mergeCells>
  <phoneticPr fontId="2" type="noConversion"/>
  <hyperlinks>
    <hyperlink ref="B15" r:id="rId1" xr:uid="{026B3037-3E79-4FD0-84D7-C1177FCCCC90}"/>
  </hyperlinks>
  <pageMargins left="0.7" right="0.7" top="0.75" bottom="0.75" header="0.3" footer="0.3"/>
  <pageSetup paperSize="9" scale="47" fitToWidth="0" orientation="portrait"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A4C49-8D9D-48F4-BCB2-145AC9C863B3}">
  <sheetPr>
    <tabColor rgb="FFFFFF00"/>
    <pageSetUpPr fitToPage="1"/>
  </sheetPr>
  <dimension ref="A1:BZ28"/>
  <sheetViews>
    <sheetView zoomScale="85" zoomScaleNormal="85" workbookViewId="0">
      <pane xSplit="1" topLeftCell="B1" activePane="topRight" state="frozen"/>
      <selection pane="topRight" activeCell="AX13" sqref="AX13"/>
    </sheetView>
  </sheetViews>
  <sheetFormatPr defaultRowHeight="16.5"/>
  <cols>
    <col min="1" max="1" width="10.625" customWidth="1"/>
    <col min="2" max="2" width="15" bestFit="1" customWidth="1"/>
    <col min="3" max="3" width="21.125" bestFit="1" customWidth="1"/>
    <col min="4" max="4" width="15" bestFit="1" customWidth="1"/>
    <col min="5" max="5" width="21.125" bestFit="1" customWidth="1"/>
    <col min="6" max="6" width="26.875" bestFit="1" customWidth="1"/>
    <col min="7" max="27" width="10.625" customWidth="1"/>
    <col min="28" max="31" width="15" bestFit="1" customWidth="1"/>
    <col min="32" max="32" width="13.375" bestFit="1" customWidth="1"/>
    <col min="33" max="33" width="15" bestFit="1" customWidth="1"/>
    <col min="34" max="34" width="10.625" customWidth="1"/>
    <col min="35" max="35" width="15" bestFit="1" customWidth="1"/>
    <col min="36" max="36" width="17.625" bestFit="1" customWidth="1"/>
    <col min="37" max="39" width="10.625" customWidth="1"/>
    <col min="40" max="40" width="12.5" customWidth="1"/>
    <col min="41" max="44" width="10.625" customWidth="1"/>
    <col min="45" max="45" width="16.625" bestFit="1" customWidth="1"/>
    <col min="46" max="46" width="15.375" bestFit="1" customWidth="1"/>
    <col min="47" max="49" width="12.125" bestFit="1" customWidth="1"/>
    <col min="50" max="50" width="13.25" bestFit="1" customWidth="1"/>
    <col min="51" max="52" width="12.125" bestFit="1" customWidth="1"/>
    <col min="53" max="53" width="13.5" bestFit="1" customWidth="1"/>
    <col min="54" max="55" width="12.125" bestFit="1" customWidth="1"/>
    <col min="56" max="57" width="13.25" bestFit="1" customWidth="1"/>
    <col min="58" max="58" width="16.75" bestFit="1" customWidth="1"/>
    <col min="59" max="78" width="10.625" customWidth="1"/>
  </cols>
  <sheetData>
    <row r="1" spans="1:78" ht="17.25" thickBot="1"/>
    <row r="2" spans="1:78" ht="17.25" customHeight="1">
      <c r="A2" s="211" t="s">
        <v>165</v>
      </c>
      <c r="B2" s="212"/>
      <c r="C2" s="212"/>
      <c r="D2" s="212"/>
      <c r="E2" s="212"/>
      <c r="F2" s="212"/>
      <c r="G2" s="212"/>
      <c r="H2" s="212"/>
      <c r="I2" s="212"/>
      <c r="J2" s="212"/>
      <c r="K2" s="212"/>
      <c r="L2" s="212"/>
      <c r="M2" s="212"/>
      <c r="N2" s="212"/>
      <c r="O2" s="213"/>
    </row>
    <row r="3" spans="1:78" ht="17.25" customHeight="1" thickBot="1">
      <c r="A3" s="214"/>
      <c r="B3" s="215"/>
      <c r="C3" s="215"/>
      <c r="D3" s="215"/>
      <c r="E3" s="215"/>
      <c r="F3" s="215"/>
      <c r="G3" s="215"/>
      <c r="H3" s="215"/>
      <c r="I3" s="215"/>
      <c r="J3" s="215"/>
      <c r="K3" s="215"/>
      <c r="L3" s="215"/>
      <c r="M3" s="215"/>
      <c r="N3" s="215"/>
      <c r="O3" s="216"/>
    </row>
    <row r="4" spans="1:78" ht="11.25" customHeight="1">
      <c r="A4" s="1" t="s">
        <v>0</v>
      </c>
      <c r="B4" s="1"/>
      <c r="C4" s="1"/>
      <c r="D4" s="1"/>
      <c r="E4" s="1"/>
      <c r="F4" s="1"/>
      <c r="G4" s="1"/>
      <c r="H4" s="1"/>
      <c r="I4" s="1"/>
      <c r="J4" s="1"/>
      <c r="K4" s="1"/>
      <c r="L4" s="1"/>
      <c r="M4" s="1"/>
    </row>
    <row r="5" spans="1:78" ht="17.25">
      <c r="A5" s="217" t="s">
        <v>52</v>
      </c>
      <c r="B5" s="217"/>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217"/>
      <c r="AK5" s="217"/>
      <c r="AL5" s="217"/>
      <c r="AM5" s="217"/>
      <c r="AN5" s="217"/>
      <c r="AO5" s="217"/>
      <c r="AP5" s="217"/>
      <c r="AQ5" s="217"/>
      <c r="AR5" s="217"/>
      <c r="AS5" s="217"/>
      <c r="AT5" s="217"/>
      <c r="AU5" s="209" t="s">
        <v>26</v>
      </c>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row>
    <row r="6" spans="1:78" s="50" customFormat="1" ht="16.5" customHeight="1">
      <c r="A6" s="218" t="s">
        <v>132</v>
      </c>
      <c r="B6" s="220" t="s">
        <v>133</v>
      </c>
      <c r="C6" s="220" t="s">
        <v>134</v>
      </c>
      <c r="D6" s="220" t="s">
        <v>135</v>
      </c>
      <c r="E6" s="220" t="s">
        <v>136</v>
      </c>
      <c r="F6" s="45" t="s">
        <v>70</v>
      </c>
      <c r="G6" s="46" t="s">
        <v>71</v>
      </c>
      <c r="H6" s="45" t="s">
        <v>72</v>
      </c>
      <c r="I6" s="46" t="s">
        <v>73</v>
      </c>
      <c r="J6" s="45" t="s">
        <v>74</v>
      </c>
      <c r="K6" s="45" t="s">
        <v>75</v>
      </c>
      <c r="L6" s="45" t="s">
        <v>76</v>
      </c>
      <c r="M6" s="51" t="s">
        <v>77</v>
      </c>
      <c r="N6" s="51" t="s">
        <v>78</v>
      </c>
      <c r="O6" s="51" t="s">
        <v>79</v>
      </c>
      <c r="P6" s="51" t="s">
        <v>80</v>
      </c>
      <c r="Q6" s="51" t="s">
        <v>81</v>
      </c>
      <c r="R6" s="47" t="s">
        <v>82</v>
      </c>
      <c r="S6" s="47" t="s">
        <v>83</v>
      </c>
      <c r="T6" s="47" t="s">
        <v>84</v>
      </c>
      <c r="U6" s="47" t="s">
        <v>85</v>
      </c>
      <c r="V6" s="47" t="s">
        <v>86</v>
      </c>
      <c r="W6" s="47" t="s">
        <v>87</v>
      </c>
      <c r="X6" s="47" t="s">
        <v>88</v>
      </c>
      <c r="Y6" s="47" t="s">
        <v>89</v>
      </c>
      <c r="Z6" s="47" t="s">
        <v>90</v>
      </c>
      <c r="AA6" s="47" t="s">
        <v>91</v>
      </c>
      <c r="AB6" s="48" t="s">
        <v>92</v>
      </c>
      <c r="AC6" s="48" t="s">
        <v>93</v>
      </c>
      <c r="AD6" s="48" t="s">
        <v>94</v>
      </c>
      <c r="AE6" s="48" t="s">
        <v>95</v>
      </c>
      <c r="AF6" s="48" t="s">
        <v>96</v>
      </c>
      <c r="AG6" s="48" t="s">
        <v>97</v>
      </c>
      <c r="AH6" s="48" t="s">
        <v>98</v>
      </c>
      <c r="AI6" s="48" t="s">
        <v>99</v>
      </c>
      <c r="AJ6" s="48" t="s">
        <v>100</v>
      </c>
      <c r="AK6" s="48" t="s">
        <v>101</v>
      </c>
      <c r="AL6" s="49" t="s">
        <v>102</v>
      </c>
      <c r="AM6" s="49" t="s">
        <v>103</v>
      </c>
      <c r="AN6" s="49" t="s">
        <v>104</v>
      </c>
      <c r="AO6" s="60" t="s">
        <v>105</v>
      </c>
      <c r="AP6" s="60" t="s">
        <v>143</v>
      </c>
      <c r="AQ6" s="53" t="s">
        <v>106</v>
      </c>
      <c r="AR6" s="53" t="s">
        <v>106</v>
      </c>
      <c r="AS6" s="53" t="s">
        <v>107</v>
      </c>
      <c r="AT6" s="53" t="s">
        <v>108</v>
      </c>
      <c r="AU6" s="206" t="s">
        <v>67</v>
      </c>
      <c r="AV6" s="206"/>
      <c r="AW6" s="206"/>
      <c r="AX6" s="206"/>
      <c r="AY6" s="206"/>
      <c r="AZ6" s="206"/>
      <c r="BA6" s="206"/>
      <c r="BB6" s="206"/>
      <c r="BC6" s="206"/>
      <c r="BD6" s="206"/>
      <c r="BE6" s="206"/>
      <c r="BF6" s="206"/>
      <c r="BG6" s="207" t="s">
        <v>68</v>
      </c>
      <c r="BH6" s="207"/>
      <c r="BI6" s="207"/>
      <c r="BJ6" s="207"/>
      <c r="BK6" s="207"/>
      <c r="BL6" s="207"/>
      <c r="BM6" s="207"/>
      <c r="BN6" s="207"/>
      <c r="BO6" s="207"/>
      <c r="BP6" s="207"/>
      <c r="BQ6" s="207"/>
      <c r="BR6" s="207"/>
      <c r="BS6" s="208" t="s">
        <v>69</v>
      </c>
      <c r="BT6" s="208"/>
      <c r="BU6" s="208"/>
      <c r="BV6" s="208"/>
      <c r="BW6" s="208"/>
      <c r="BX6" s="208"/>
      <c r="BY6" s="208"/>
      <c r="BZ6" s="208"/>
    </row>
    <row r="7" spans="1:78" s="44" customFormat="1" ht="81">
      <c r="A7" s="219"/>
      <c r="B7" s="220"/>
      <c r="C7" s="220"/>
      <c r="D7" s="220"/>
      <c r="E7" s="220"/>
      <c r="F7" s="39" t="s">
        <v>53</v>
      </c>
      <c r="G7" s="40" t="s">
        <v>54</v>
      </c>
      <c r="H7" s="39" t="s">
        <v>55</v>
      </c>
      <c r="I7" s="40" t="s">
        <v>56</v>
      </c>
      <c r="J7" s="39" t="s">
        <v>57</v>
      </c>
      <c r="K7" s="39" t="s">
        <v>109</v>
      </c>
      <c r="L7" s="39" t="s">
        <v>110</v>
      </c>
      <c r="M7" s="52" t="s">
        <v>58</v>
      </c>
      <c r="N7" s="52" t="s">
        <v>59</v>
      </c>
      <c r="O7" s="52" t="s">
        <v>139</v>
      </c>
      <c r="P7" s="52" t="s">
        <v>60</v>
      </c>
      <c r="Q7" s="52" t="s">
        <v>61</v>
      </c>
      <c r="R7" s="41" t="s">
        <v>112</v>
      </c>
      <c r="S7" s="41" t="s">
        <v>113</v>
      </c>
      <c r="T7" s="41" t="s">
        <v>114</v>
      </c>
      <c r="U7" s="41" t="s">
        <v>144</v>
      </c>
      <c r="V7" s="41" t="s">
        <v>145</v>
      </c>
      <c r="W7" s="41" t="s">
        <v>115</v>
      </c>
      <c r="X7" s="41" t="s">
        <v>116</v>
      </c>
      <c r="Y7" s="41" t="s">
        <v>117</v>
      </c>
      <c r="Z7" s="41" t="s">
        <v>118</v>
      </c>
      <c r="AA7" s="41" t="s">
        <v>119</v>
      </c>
      <c r="AB7" s="42" t="s">
        <v>62</v>
      </c>
      <c r="AC7" s="42" t="s">
        <v>63</v>
      </c>
      <c r="AD7" s="42" t="s">
        <v>120</v>
      </c>
      <c r="AE7" s="42" t="s">
        <v>121</v>
      </c>
      <c r="AF7" s="42" t="s">
        <v>64</v>
      </c>
      <c r="AG7" s="42" t="s">
        <v>122</v>
      </c>
      <c r="AH7" s="42" t="s">
        <v>123</v>
      </c>
      <c r="AI7" s="42" t="s">
        <v>124</v>
      </c>
      <c r="AJ7" s="42" t="s">
        <v>125</v>
      </c>
      <c r="AK7" s="42" t="s">
        <v>126</v>
      </c>
      <c r="AL7" s="43" t="s">
        <v>127</v>
      </c>
      <c r="AM7" s="43" t="s">
        <v>111</v>
      </c>
      <c r="AN7" s="43" t="s">
        <v>65</v>
      </c>
      <c r="AO7" s="43" t="s">
        <v>66</v>
      </c>
      <c r="AP7" s="43" t="s">
        <v>149</v>
      </c>
      <c r="AQ7" s="54" t="s">
        <v>128</v>
      </c>
      <c r="AR7" s="54" t="s">
        <v>129</v>
      </c>
      <c r="AS7" s="54" t="s">
        <v>130</v>
      </c>
      <c r="AT7" s="54" t="s">
        <v>131</v>
      </c>
      <c r="AU7" s="42" t="s">
        <v>16</v>
      </c>
      <c r="AV7" s="42" t="s">
        <v>15</v>
      </c>
      <c r="AW7" s="42" t="s">
        <v>17</v>
      </c>
      <c r="AX7" s="42" t="s">
        <v>18</v>
      </c>
      <c r="AY7" s="42" t="s">
        <v>19</v>
      </c>
      <c r="AZ7" s="42" t="s">
        <v>20</v>
      </c>
      <c r="BA7" s="42" t="s">
        <v>21</v>
      </c>
      <c r="BB7" s="42" t="s">
        <v>241</v>
      </c>
      <c r="BC7" s="42" t="s">
        <v>243</v>
      </c>
      <c r="BD7" s="42" t="s">
        <v>245</v>
      </c>
      <c r="BE7" s="42" t="s">
        <v>247</v>
      </c>
      <c r="BF7" s="42" t="s">
        <v>12</v>
      </c>
      <c r="BG7" s="41" t="s">
        <v>16</v>
      </c>
      <c r="BH7" s="41" t="s">
        <v>15</v>
      </c>
      <c r="BI7" s="41" t="s">
        <v>17</v>
      </c>
      <c r="BJ7" s="41" t="s">
        <v>18</v>
      </c>
      <c r="BK7" s="41" t="s">
        <v>19</v>
      </c>
      <c r="BL7" s="41" t="s">
        <v>20</v>
      </c>
      <c r="BM7" s="41" t="s">
        <v>21</v>
      </c>
      <c r="BN7" s="41" t="s">
        <v>240</v>
      </c>
      <c r="BO7" s="41" t="s">
        <v>242</v>
      </c>
      <c r="BP7" s="41" t="s">
        <v>244</v>
      </c>
      <c r="BQ7" s="41" t="s">
        <v>246</v>
      </c>
      <c r="BR7" s="41" t="s">
        <v>12</v>
      </c>
      <c r="BS7" s="43" t="s">
        <v>16</v>
      </c>
      <c r="BT7" s="43" t="s">
        <v>15</v>
      </c>
      <c r="BU7" s="43" t="s">
        <v>17</v>
      </c>
      <c r="BV7" s="43" t="s">
        <v>18</v>
      </c>
      <c r="BW7" s="43" t="s">
        <v>19</v>
      </c>
      <c r="BX7" s="43" t="s">
        <v>20</v>
      </c>
      <c r="BY7" s="43" t="s">
        <v>21</v>
      </c>
      <c r="BZ7" s="43" t="s">
        <v>12</v>
      </c>
    </row>
    <row r="8" spans="1:78">
      <c r="A8" s="38">
        <v>1</v>
      </c>
      <c r="B8" s="38" t="s">
        <v>227</v>
      </c>
      <c r="C8" s="82" t="s">
        <v>228</v>
      </c>
      <c r="D8" s="38" t="s">
        <v>227</v>
      </c>
      <c r="E8" s="82" t="s">
        <v>228</v>
      </c>
      <c r="F8" s="36" t="s">
        <v>210</v>
      </c>
      <c r="G8" s="36" t="s">
        <v>214</v>
      </c>
      <c r="H8" s="36" t="s">
        <v>215</v>
      </c>
      <c r="I8" s="37" t="s">
        <v>219</v>
      </c>
      <c r="J8" s="77">
        <v>40464</v>
      </c>
      <c r="K8" s="36" t="s">
        <v>216</v>
      </c>
      <c r="L8" s="36" t="s">
        <v>217</v>
      </c>
      <c r="M8" s="35">
        <v>12</v>
      </c>
      <c r="N8" s="35" t="s">
        <v>218</v>
      </c>
      <c r="O8" s="35"/>
      <c r="P8" s="35" t="s">
        <v>220</v>
      </c>
      <c r="Q8" s="35" t="s">
        <v>206</v>
      </c>
      <c r="R8" s="32" t="s">
        <v>221</v>
      </c>
      <c r="S8" s="32" t="s">
        <v>222</v>
      </c>
      <c r="T8" s="32" t="s">
        <v>223</v>
      </c>
      <c r="U8" s="34"/>
      <c r="V8" s="34"/>
      <c r="W8" s="32" t="s">
        <v>223</v>
      </c>
      <c r="X8" s="32" t="s">
        <v>223</v>
      </c>
      <c r="Y8" s="34"/>
      <c r="Z8" s="32" t="s">
        <v>223</v>
      </c>
      <c r="AA8" s="36"/>
      <c r="AB8" s="78">
        <v>1500025000</v>
      </c>
      <c r="AC8" s="78">
        <v>1490023000</v>
      </c>
      <c r="AD8" s="78">
        <v>10000000</v>
      </c>
      <c r="AE8" s="78">
        <v>28140821</v>
      </c>
      <c r="AF8" s="78">
        <v>2000</v>
      </c>
      <c r="AG8" s="78">
        <v>2000</v>
      </c>
      <c r="AH8" s="81">
        <f>(AD8+AE8+AG8)/AB8</f>
        <v>2.542812353127448E-2</v>
      </c>
      <c r="AI8" s="78">
        <v>3800000000</v>
      </c>
      <c r="AJ8" s="79">
        <v>0</v>
      </c>
      <c r="AK8" s="80" t="s">
        <v>232</v>
      </c>
      <c r="AL8" s="32" t="s">
        <v>226</v>
      </c>
      <c r="AM8" s="33"/>
      <c r="AN8" s="33"/>
      <c r="AO8" s="32"/>
      <c r="AP8" s="31"/>
      <c r="AQ8" s="86"/>
      <c r="AR8" s="86" t="s">
        <v>0</v>
      </c>
      <c r="AS8" s="86"/>
      <c r="AT8" s="86"/>
      <c r="AU8" s="23">
        <v>2686238449</v>
      </c>
      <c r="AV8" s="30">
        <v>5033347683</v>
      </c>
      <c r="AW8" s="30">
        <v>7270848363</v>
      </c>
      <c r="AX8" s="30">
        <v>10600616898</v>
      </c>
      <c r="AY8" s="30">
        <v>4409905073</v>
      </c>
      <c r="AZ8" s="30"/>
      <c r="BA8" s="30"/>
      <c r="BB8" s="30"/>
      <c r="BC8" s="30"/>
      <c r="BD8" s="30"/>
      <c r="BE8" s="30"/>
      <c r="BF8" s="89">
        <f>SUM(AU8:BE8)</f>
        <v>30000956466</v>
      </c>
      <c r="BG8" s="23">
        <v>8</v>
      </c>
      <c r="BH8" s="30">
        <v>8</v>
      </c>
      <c r="BI8" s="30">
        <v>19</v>
      </c>
      <c r="BJ8" s="30">
        <v>25</v>
      </c>
      <c r="BK8" s="30">
        <v>25</v>
      </c>
      <c r="BL8" s="30"/>
      <c r="BM8" s="30"/>
      <c r="BN8" s="30"/>
      <c r="BO8" s="30"/>
      <c r="BP8" s="30"/>
      <c r="BQ8" s="30"/>
      <c r="BR8" s="89">
        <f>SUM(BG8:BQ8)</f>
        <v>85</v>
      </c>
      <c r="BS8" s="23"/>
      <c r="BT8" s="30"/>
      <c r="BU8" s="30"/>
      <c r="BV8" s="30"/>
      <c r="BW8" s="30"/>
      <c r="BX8" s="30"/>
      <c r="BY8" s="30"/>
      <c r="BZ8" s="89">
        <f>SUM(BS8:BY8)</f>
        <v>0</v>
      </c>
    </row>
    <row r="9" spans="1:78">
      <c r="A9" s="38">
        <v>2</v>
      </c>
      <c r="B9" s="38" t="s">
        <v>229</v>
      </c>
      <c r="C9" s="82" t="s">
        <v>230</v>
      </c>
      <c r="D9" s="38" t="s">
        <v>229</v>
      </c>
      <c r="E9" s="82" t="s">
        <v>230</v>
      </c>
      <c r="F9" s="36" t="s">
        <v>211</v>
      </c>
      <c r="G9" s="36" t="s">
        <v>231</v>
      </c>
      <c r="H9" s="36" t="s">
        <v>233</v>
      </c>
      <c r="I9" s="37" t="s">
        <v>234</v>
      </c>
      <c r="J9" s="77">
        <v>41124</v>
      </c>
      <c r="K9" s="36" t="s">
        <v>235</v>
      </c>
      <c r="L9" s="36" t="s">
        <v>236</v>
      </c>
      <c r="M9" s="35">
        <v>3</v>
      </c>
      <c r="N9" s="35" t="s">
        <v>237</v>
      </c>
      <c r="O9" s="35" t="s">
        <v>238</v>
      </c>
      <c r="P9" s="35" t="s">
        <v>220</v>
      </c>
      <c r="Q9" s="35" t="s">
        <v>239</v>
      </c>
      <c r="R9" s="32" t="s">
        <v>221</v>
      </c>
      <c r="S9" s="32" t="s">
        <v>221</v>
      </c>
      <c r="T9" s="32"/>
      <c r="U9" s="34"/>
      <c r="V9" s="34"/>
      <c r="W9" s="32" t="s">
        <v>223</v>
      </c>
      <c r="X9" s="32" t="s">
        <v>223</v>
      </c>
      <c r="Y9" s="34"/>
      <c r="Z9" s="32" t="s">
        <v>223</v>
      </c>
      <c r="AA9" s="36"/>
      <c r="AB9" s="78">
        <v>500010000</v>
      </c>
      <c r="AC9" s="78">
        <v>0</v>
      </c>
      <c r="AD9" s="78">
        <v>0</v>
      </c>
      <c r="AE9" s="78">
        <v>0</v>
      </c>
      <c r="AF9" s="78">
        <v>500010000</v>
      </c>
      <c r="AG9" s="78">
        <v>100002000</v>
      </c>
      <c r="AH9" s="81">
        <f>(AD9+AE9+AG9)/AB9</f>
        <v>0.2</v>
      </c>
      <c r="AI9" s="78">
        <v>6930000000</v>
      </c>
      <c r="AJ9" s="79">
        <v>2871472800</v>
      </c>
      <c r="AK9" s="32" t="s">
        <v>232</v>
      </c>
      <c r="AL9" s="32" t="s">
        <v>226</v>
      </c>
      <c r="AM9" s="33"/>
      <c r="AN9" s="33"/>
      <c r="AO9" s="32"/>
      <c r="AP9" s="31"/>
      <c r="AQ9" s="86">
        <v>16</v>
      </c>
      <c r="AR9" s="86">
        <v>0</v>
      </c>
      <c r="AS9" s="86">
        <v>25006000000</v>
      </c>
      <c r="AT9" s="86">
        <v>0</v>
      </c>
      <c r="AU9" s="83">
        <v>3776469945</v>
      </c>
      <c r="AV9" s="83">
        <v>2828047046</v>
      </c>
      <c r="AW9" s="83">
        <v>2528702238</v>
      </c>
      <c r="AX9" s="83">
        <v>3194657773</v>
      </c>
      <c r="AY9" s="83">
        <v>3440541689</v>
      </c>
      <c r="AZ9" s="83">
        <v>3492459216</v>
      </c>
      <c r="BA9" s="84">
        <v>12114497584</v>
      </c>
      <c r="BB9" s="85">
        <v>7296266636</v>
      </c>
      <c r="BC9" s="85">
        <v>7166296469</v>
      </c>
      <c r="BD9" s="30">
        <v>3966903133</v>
      </c>
      <c r="BE9" s="30">
        <v>3150112606</v>
      </c>
      <c r="BF9" s="89">
        <f t="shared" ref="BF9:BF12" si="0">SUM(AU9:BE9)</f>
        <v>52954954335</v>
      </c>
      <c r="BG9" s="23">
        <v>31</v>
      </c>
      <c r="BH9" s="30">
        <v>27</v>
      </c>
      <c r="BI9" s="30">
        <v>23</v>
      </c>
      <c r="BJ9" s="30">
        <v>36</v>
      </c>
      <c r="BK9" s="30">
        <v>49</v>
      </c>
      <c r="BL9" s="30">
        <v>70</v>
      </c>
      <c r="BM9" s="30">
        <v>73</v>
      </c>
      <c r="BN9" s="30">
        <v>63</v>
      </c>
      <c r="BO9" s="30">
        <v>68</v>
      </c>
      <c r="BP9" s="30">
        <v>76</v>
      </c>
      <c r="BQ9" s="30">
        <v>29</v>
      </c>
      <c r="BR9" s="89">
        <f t="shared" ref="BR9:BR12" si="1">SUM(BG9:BQ9)</f>
        <v>545</v>
      </c>
      <c r="BS9" s="23"/>
      <c r="BT9" s="30"/>
      <c r="BU9" s="30"/>
      <c r="BV9" s="30"/>
      <c r="BW9" s="30"/>
      <c r="BX9" s="30"/>
      <c r="BY9" s="30"/>
      <c r="BZ9" s="89">
        <f t="shared" ref="BZ9:BZ12" si="2">SUM(BS9:BY9)</f>
        <v>0</v>
      </c>
    </row>
    <row r="10" spans="1:78">
      <c r="A10" s="38">
        <v>3</v>
      </c>
      <c r="B10" s="38" t="s">
        <v>250</v>
      </c>
      <c r="C10" s="82" t="s">
        <v>251</v>
      </c>
      <c r="D10" s="38" t="s">
        <v>250</v>
      </c>
      <c r="E10" s="82" t="s">
        <v>251</v>
      </c>
      <c r="F10" s="36" t="s">
        <v>212</v>
      </c>
      <c r="G10" s="36" t="s">
        <v>248</v>
      </c>
      <c r="H10" s="36" t="s">
        <v>249</v>
      </c>
      <c r="I10" s="37" t="s">
        <v>252</v>
      </c>
      <c r="J10" s="77">
        <v>42270</v>
      </c>
      <c r="K10" s="36" t="s">
        <v>253</v>
      </c>
      <c r="L10" s="36" t="s">
        <v>254</v>
      </c>
      <c r="M10" s="35">
        <v>10</v>
      </c>
      <c r="N10" s="35" t="s">
        <v>255</v>
      </c>
      <c r="O10" s="35"/>
      <c r="P10" s="35" t="s">
        <v>220</v>
      </c>
      <c r="Q10" s="35" t="s">
        <v>239</v>
      </c>
      <c r="R10" s="32" t="s">
        <v>221</v>
      </c>
      <c r="S10" s="32" t="s">
        <v>256</v>
      </c>
      <c r="T10" s="32" t="s">
        <v>223</v>
      </c>
      <c r="U10" s="34"/>
      <c r="V10" s="34"/>
      <c r="W10" s="32" t="s">
        <v>223</v>
      </c>
      <c r="X10" s="32" t="s">
        <v>223</v>
      </c>
      <c r="Y10" s="34" t="s">
        <v>259</v>
      </c>
      <c r="Z10" s="32" t="s">
        <v>258</v>
      </c>
      <c r="AA10" s="36" t="s">
        <v>259</v>
      </c>
      <c r="AB10" s="78">
        <v>500119344</v>
      </c>
      <c r="AC10" s="78">
        <v>0</v>
      </c>
      <c r="AD10" s="78">
        <v>0</v>
      </c>
      <c r="AE10" s="78">
        <v>0</v>
      </c>
      <c r="AF10" s="78">
        <v>500119344</v>
      </c>
      <c r="AG10" s="78">
        <v>5418632295</v>
      </c>
      <c r="AH10" s="81">
        <f>(AD10+AE10+AG10)/AB10</f>
        <v>10.834678482262426</v>
      </c>
      <c r="AI10" s="78">
        <v>6503000000</v>
      </c>
      <c r="AJ10" s="79">
        <v>187611289074</v>
      </c>
      <c r="AK10" s="32"/>
      <c r="AL10" s="32" t="s">
        <v>257</v>
      </c>
      <c r="AM10" s="87">
        <v>46752</v>
      </c>
      <c r="AN10" s="33" t="s">
        <v>275</v>
      </c>
      <c r="AO10" s="32"/>
      <c r="AP10" s="31"/>
      <c r="AQ10" s="86">
        <v>16</v>
      </c>
      <c r="AR10" s="86">
        <v>3</v>
      </c>
      <c r="AS10" s="86">
        <v>34116000000</v>
      </c>
      <c r="AT10" s="86">
        <v>7499994282</v>
      </c>
      <c r="AU10" s="23">
        <v>0</v>
      </c>
      <c r="AV10" s="30">
        <v>681536317</v>
      </c>
      <c r="AW10" s="30">
        <v>1099663120</v>
      </c>
      <c r="AX10" s="30">
        <v>0</v>
      </c>
      <c r="AY10" s="30">
        <v>16429188</v>
      </c>
      <c r="AZ10" s="30">
        <v>22273400</v>
      </c>
      <c r="BA10" s="30">
        <v>19297530062</v>
      </c>
      <c r="BB10" s="30">
        <v>22134295365</v>
      </c>
      <c r="BC10" s="30">
        <v>33566236543</v>
      </c>
      <c r="BD10" s="30">
        <v>30489897498</v>
      </c>
      <c r="BE10" s="30">
        <v>31457983251</v>
      </c>
      <c r="BF10" s="89">
        <f t="shared" si="0"/>
        <v>138765844744</v>
      </c>
      <c r="BG10" s="23">
        <v>3</v>
      </c>
      <c r="BH10" s="30">
        <v>18</v>
      </c>
      <c r="BI10" s="30">
        <v>32</v>
      </c>
      <c r="BJ10" s="30">
        <v>54</v>
      </c>
      <c r="BK10" s="30">
        <v>33</v>
      </c>
      <c r="BL10" s="30">
        <v>62</v>
      </c>
      <c r="BM10" s="30">
        <v>94</v>
      </c>
      <c r="BN10" s="30">
        <v>88</v>
      </c>
      <c r="BO10" s="30">
        <v>158</v>
      </c>
      <c r="BP10" s="30">
        <v>210</v>
      </c>
      <c r="BQ10" s="30">
        <v>162</v>
      </c>
      <c r="BR10" s="89">
        <f t="shared" si="1"/>
        <v>914</v>
      </c>
      <c r="BS10" s="23"/>
      <c r="BT10" s="30"/>
      <c r="BU10" s="30"/>
      <c r="BV10" s="30"/>
      <c r="BW10" s="30"/>
      <c r="BX10" s="30"/>
      <c r="BY10" s="30"/>
      <c r="BZ10" s="89">
        <f t="shared" si="2"/>
        <v>0</v>
      </c>
    </row>
    <row r="11" spans="1:78">
      <c r="A11" s="38">
        <v>4</v>
      </c>
      <c r="B11" s="38" t="s">
        <v>261</v>
      </c>
      <c r="C11" s="82" t="s">
        <v>262</v>
      </c>
      <c r="D11" s="38" t="s">
        <v>261</v>
      </c>
      <c r="E11" s="82" t="s">
        <v>262</v>
      </c>
      <c r="F11" s="36" t="s">
        <v>213</v>
      </c>
      <c r="G11" s="36" t="s">
        <v>260</v>
      </c>
      <c r="H11" s="36" t="s">
        <v>263</v>
      </c>
      <c r="I11" s="37" t="s">
        <v>264</v>
      </c>
      <c r="J11" s="77">
        <v>42265</v>
      </c>
      <c r="K11" s="36" t="s">
        <v>266</v>
      </c>
      <c r="L11" s="36" t="s">
        <v>265</v>
      </c>
      <c r="M11" s="35">
        <v>3</v>
      </c>
      <c r="N11" s="35" t="s">
        <v>218</v>
      </c>
      <c r="O11" s="35"/>
      <c r="P11" s="35" t="s">
        <v>220</v>
      </c>
      <c r="Q11" s="35" t="s">
        <v>239</v>
      </c>
      <c r="R11" s="32" t="s">
        <v>221</v>
      </c>
      <c r="S11" s="32" t="s">
        <v>221</v>
      </c>
      <c r="T11" s="32"/>
      <c r="U11" s="34"/>
      <c r="V11" s="34"/>
      <c r="W11" s="32" t="s">
        <v>223</v>
      </c>
      <c r="X11" s="32" t="s">
        <v>223</v>
      </c>
      <c r="Y11" s="34"/>
      <c r="Z11" s="32" t="s">
        <v>223</v>
      </c>
      <c r="AA11" s="36"/>
      <c r="AB11" s="78">
        <v>1002000000</v>
      </c>
      <c r="AC11" s="78">
        <v>0</v>
      </c>
      <c r="AD11" s="78">
        <v>1002000000</v>
      </c>
      <c r="AE11" s="78">
        <v>0</v>
      </c>
      <c r="AF11" s="78">
        <v>0</v>
      </c>
      <c r="AG11" s="78">
        <v>0</v>
      </c>
      <c r="AH11" s="81">
        <f>(AD11+AE11+AG11)/AB11</f>
        <v>1</v>
      </c>
      <c r="AI11" s="78">
        <v>3000000000</v>
      </c>
      <c r="AJ11" s="79">
        <v>0</v>
      </c>
      <c r="AK11" s="32" t="s">
        <v>232</v>
      </c>
      <c r="AL11" s="32" t="s">
        <v>226</v>
      </c>
      <c r="AM11" s="33"/>
      <c r="AN11" s="33"/>
      <c r="AO11" s="32"/>
      <c r="AP11" s="31"/>
      <c r="AQ11" s="86"/>
      <c r="AR11" s="86"/>
      <c r="AS11" s="86"/>
      <c r="AT11" s="86"/>
      <c r="AU11" s="23">
        <v>120518534</v>
      </c>
      <c r="AV11" s="30">
        <v>493197702</v>
      </c>
      <c r="AW11" s="30">
        <v>633327656</v>
      </c>
      <c r="AX11" s="30">
        <v>664492422</v>
      </c>
      <c r="AY11" s="30">
        <v>374004947</v>
      </c>
      <c r="AZ11" s="30">
        <v>544774569</v>
      </c>
      <c r="BA11" s="30">
        <v>630515752</v>
      </c>
      <c r="BB11" s="30">
        <v>1077255899</v>
      </c>
      <c r="BC11" s="30">
        <v>1331624488</v>
      </c>
      <c r="BD11" s="30"/>
      <c r="BE11" s="30"/>
      <c r="BF11" s="89">
        <f t="shared" si="0"/>
        <v>5869711969</v>
      </c>
      <c r="BG11" s="23">
        <v>4</v>
      </c>
      <c r="BH11" s="30">
        <v>3</v>
      </c>
      <c r="BI11" s="30">
        <v>5</v>
      </c>
      <c r="BJ11" s="30">
        <v>4</v>
      </c>
      <c r="BK11" s="30">
        <v>4</v>
      </c>
      <c r="BL11" s="30">
        <v>4</v>
      </c>
      <c r="BM11" s="30">
        <v>4</v>
      </c>
      <c r="BN11" s="30">
        <v>4</v>
      </c>
      <c r="BO11" s="30">
        <v>4</v>
      </c>
      <c r="BP11" s="30"/>
      <c r="BQ11" s="30"/>
      <c r="BR11" s="89">
        <f t="shared" si="1"/>
        <v>36</v>
      </c>
      <c r="BS11" s="23"/>
      <c r="BT11" s="30"/>
      <c r="BU11" s="30"/>
      <c r="BV11" s="30"/>
      <c r="BW11" s="30"/>
      <c r="BX11" s="30"/>
      <c r="BY11" s="30"/>
      <c r="BZ11" s="89">
        <f t="shared" si="2"/>
        <v>0</v>
      </c>
    </row>
    <row r="12" spans="1:78">
      <c r="A12" s="38">
        <v>5</v>
      </c>
      <c r="B12" s="38" t="s">
        <v>267</v>
      </c>
      <c r="C12" s="82" t="s">
        <v>268</v>
      </c>
      <c r="D12" s="38" t="s">
        <v>267</v>
      </c>
      <c r="E12" s="82" t="s">
        <v>268</v>
      </c>
      <c r="F12" s="36" t="s">
        <v>199</v>
      </c>
      <c r="G12" s="36" t="s">
        <v>269</v>
      </c>
      <c r="H12" s="36" t="s">
        <v>270</v>
      </c>
      <c r="I12" s="37" t="s">
        <v>271</v>
      </c>
      <c r="J12" s="77">
        <v>41561</v>
      </c>
      <c r="K12" s="36" t="s">
        <v>272</v>
      </c>
      <c r="L12" s="36" t="s">
        <v>273</v>
      </c>
      <c r="M12" s="35">
        <v>3</v>
      </c>
      <c r="N12" s="35"/>
      <c r="O12" s="35"/>
      <c r="P12" s="35" t="s">
        <v>220</v>
      </c>
      <c r="Q12" s="35" t="s">
        <v>239</v>
      </c>
      <c r="R12" s="32" t="s">
        <v>221</v>
      </c>
      <c r="S12" s="32" t="s">
        <v>221</v>
      </c>
      <c r="T12" s="32"/>
      <c r="U12" s="34"/>
      <c r="V12" s="34"/>
      <c r="W12" s="32" t="s">
        <v>223</v>
      </c>
      <c r="X12" s="32" t="s">
        <v>223</v>
      </c>
      <c r="Y12" s="34"/>
      <c r="Z12" s="32" t="s">
        <v>223</v>
      </c>
      <c r="AA12" s="36"/>
      <c r="AB12" s="78">
        <v>749979750</v>
      </c>
      <c r="AC12" s="78">
        <v>0</v>
      </c>
      <c r="AD12" s="78">
        <v>449905500</v>
      </c>
      <c r="AE12" s="78">
        <v>82350</v>
      </c>
      <c r="AF12" s="78">
        <v>300074250</v>
      </c>
      <c r="AG12" s="78">
        <v>300074250</v>
      </c>
      <c r="AH12" s="88">
        <f>(AD12+AE12+AG12)/AB12</f>
        <v>1.00010980296468</v>
      </c>
      <c r="AI12" s="78">
        <v>6996000000</v>
      </c>
      <c r="AJ12" s="79">
        <v>10495461750</v>
      </c>
      <c r="AK12" s="32" t="s">
        <v>232</v>
      </c>
      <c r="AL12" s="32" t="s">
        <v>226</v>
      </c>
      <c r="AM12" s="33"/>
      <c r="AN12" s="33"/>
      <c r="AO12" s="32"/>
      <c r="AP12" s="31"/>
      <c r="AQ12" s="86"/>
      <c r="AR12" s="86"/>
      <c r="AS12" s="86"/>
      <c r="AT12" s="86"/>
      <c r="AU12" s="23">
        <v>80485000</v>
      </c>
      <c r="AV12" s="30">
        <v>288220154</v>
      </c>
      <c r="AW12" s="30">
        <v>775101622</v>
      </c>
      <c r="AX12" s="30">
        <v>1508246216</v>
      </c>
      <c r="AY12" s="30">
        <v>1505020517</v>
      </c>
      <c r="AZ12" s="30">
        <v>1108208919</v>
      </c>
      <c r="BA12" s="30">
        <v>2025333316</v>
      </c>
      <c r="BB12" s="30">
        <v>2235383895</v>
      </c>
      <c r="BC12" s="30"/>
      <c r="BD12" s="30"/>
      <c r="BE12" s="30"/>
      <c r="BF12" s="89">
        <f t="shared" si="0"/>
        <v>9525999639</v>
      </c>
      <c r="BG12" s="23">
        <v>8</v>
      </c>
      <c r="BH12" s="30">
        <v>9</v>
      </c>
      <c r="BI12" s="30">
        <v>11</v>
      </c>
      <c r="BJ12" s="30">
        <v>13</v>
      </c>
      <c r="BK12" s="30">
        <v>11</v>
      </c>
      <c r="BL12" s="30">
        <v>12</v>
      </c>
      <c r="BM12" s="30">
        <v>11</v>
      </c>
      <c r="BN12" s="30">
        <v>12</v>
      </c>
      <c r="BO12" s="30">
        <v>11</v>
      </c>
      <c r="BP12" s="30"/>
      <c r="BQ12" s="30"/>
      <c r="BR12" s="89">
        <f t="shared" si="1"/>
        <v>98</v>
      </c>
      <c r="BS12" s="23"/>
      <c r="BT12" s="30"/>
      <c r="BU12" s="30"/>
      <c r="BV12" s="30"/>
      <c r="BW12" s="30"/>
      <c r="BX12" s="30"/>
      <c r="BY12" s="30"/>
      <c r="BZ12" s="89">
        <f t="shared" si="2"/>
        <v>0</v>
      </c>
    </row>
    <row r="13" spans="1:78">
      <c r="A13" s="38">
        <v>6</v>
      </c>
      <c r="B13" s="38"/>
      <c r="C13" s="38"/>
      <c r="D13" s="38"/>
      <c r="E13" s="38"/>
      <c r="F13" s="36"/>
      <c r="G13" s="36"/>
      <c r="H13" s="36"/>
      <c r="I13" s="37"/>
      <c r="J13" s="36"/>
      <c r="K13" s="36"/>
      <c r="L13" s="36"/>
      <c r="M13" s="35"/>
      <c r="N13" s="35"/>
      <c r="O13" s="35"/>
      <c r="P13" s="35"/>
      <c r="Q13" s="35"/>
      <c r="R13" s="32"/>
      <c r="S13" s="32"/>
      <c r="T13" s="32"/>
      <c r="U13" s="34"/>
      <c r="V13" s="34"/>
      <c r="W13" s="32"/>
      <c r="X13" s="32"/>
      <c r="Y13" s="34"/>
      <c r="Z13" s="32"/>
      <c r="AA13" s="36"/>
      <c r="AB13" s="78"/>
      <c r="AC13" s="78"/>
      <c r="AD13" s="78"/>
      <c r="AE13" s="78"/>
      <c r="AF13" s="78"/>
      <c r="AG13" s="78"/>
      <c r="AH13" s="34"/>
      <c r="AI13" s="78"/>
      <c r="AJ13" s="79"/>
      <c r="AK13" s="32"/>
      <c r="AL13" s="32"/>
      <c r="AM13" s="33"/>
      <c r="AN13" s="33"/>
      <c r="AO13" s="32"/>
      <c r="AP13" s="31"/>
      <c r="AQ13" s="86"/>
      <c r="AR13" s="86"/>
      <c r="AS13" s="86"/>
      <c r="AT13" s="86"/>
      <c r="AU13" s="23"/>
      <c r="AV13" s="30"/>
      <c r="AW13" s="30"/>
      <c r="AX13" s="30"/>
      <c r="AY13" s="30"/>
      <c r="AZ13" s="30"/>
      <c r="BA13" s="30"/>
      <c r="BB13" s="30"/>
      <c r="BC13" s="30"/>
      <c r="BD13" s="30"/>
      <c r="BE13" s="30"/>
      <c r="BF13" s="24"/>
      <c r="BG13" s="23"/>
      <c r="BH13" s="30"/>
      <c r="BI13" s="30"/>
      <c r="BJ13" s="30"/>
      <c r="BK13" s="30"/>
      <c r="BL13" s="30"/>
      <c r="BM13" s="30"/>
      <c r="BN13" s="30"/>
      <c r="BO13" s="30"/>
      <c r="BP13" s="30"/>
      <c r="BQ13" s="30"/>
      <c r="BR13" s="24"/>
      <c r="BS13" s="23"/>
      <c r="BT13" s="30"/>
      <c r="BU13" s="30"/>
      <c r="BV13" s="30"/>
      <c r="BW13" s="30"/>
      <c r="BX13" s="30"/>
      <c r="BY13" s="30"/>
      <c r="BZ13" s="24"/>
    </row>
    <row r="14" spans="1:78">
      <c r="A14" s="38">
        <v>7</v>
      </c>
      <c r="B14" s="38"/>
      <c r="C14" s="38"/>
      <c r="D14" s="38"/>
      <c r="E14" s="38"/>
      <c r="F14" s="36"/>
      <c r="G14" s="36"/>
      <c r="H14" s="36"/>
      <c r="I14" s="37"/>
      <c r="J14" s="36"/>
      <c r="K14" s="36"/>
      <c r="L14" s="36"/>
      <c r="M14" s="35"/>
      <c r="N14" s="35"/>
      <c r="O14" s="35"/>
      <c r="P14" s="35"/>
      <c r="Q14" s="35"/>
      <c r="R14" s="32"/>
      <c r="S14" s="32"/>
      <c r="T14" s="32"/>
      <c r="U14" s="34"/>
      <c r="V14" s="34"/>
      <c r="W14" s="32"/>
      <c r="X14" s="32"/>
      <c r="Y14" s="34"/>
      <c r="Z14" s="32"/>
      <c r="AA14" s="36"/>
      <c r="AB14" s="78"/>
      <c r="AC14" s="78"/>
      <c r="AD14" s="78"/>
      <c r="AE14" s="78"/>
      <c r="AF14" s="78"/>
      <c r="AG14" s="78"/>
      <c r="AH14" s="34"/>
      <c r="AI14" s="78"/>
      <c r="AJ14" s="79"/>
      <c r="AK14" s="32"/>
      <c r="AL14" s="32"/>
      <c r="AM14" s="33"/>
      <c r="AN14" s="33"/>
      <c r="AO14" s="32"/>
      <c r="AP14" s="31"/>
      <c r="AQ14" s="86"/>
      <c r="AR14" s="86"/>
      <c r="AS14" s="86"/>
      <c r="AT14" s="86"/>
      <c r="AU14" s="23"/>
      <c r="AV14" s="30"/>
      <c r="AW14" s="30"/>
      <c r="AX14" s="30"/>
      <c r="AY14" s="30"/>
      <c r="AZ14" s="30"/>
      <c r="BA14" s="30"/>
      <c r="BB14" s="30"/>
      <c r="BC14" s="30"/>
      <c r="BD14" s="30"/>
      <c r="BE14" s="30"/>
      <c r="BF14" s="24"/>
      <c r="BG14" s="23"/>
      <c r="BH14" s="30"/>
      <c r="BI14" s="30"/>
      <c r="BJ14" s="30"/>
      <c r="BK14" s="30"/>
      <c r="BL14" s="30"/>
      <c r="BM14" s="30"/>
      <c r="BN14" s="30"/>
      <c r="BO14" s="30"/>
      <c r="BP14" s="30"/>
      <c r="BQ14" s="30"/>
      <c r="BR14" s="24"/>
      <c r="BS14" s="23"/>
      <c r="BT14" s="30"/>
      <c r="BU14" s="30"/>
      <c r="BV14" s="30"/>
      <c r="BW14" s="30"/>
      <c r="BX14" s="30"/>
      <c r="BY14" s="30"/>
      <c r="BZ14" s="24"/>
    </row>
    <row r="15" spans="1:78">
      <c r="A15" s="38">
        <v>8</v>
      </c>
      <c r="B15" s="38"/>
      <c r="C15" s="38"/>
      <c r="D15" s="38"/>
      <c r="E15" s="38"/>
      <c r="F15" s="36"/>
      <c r="G15" s="36"/>
      <c r="H15" s="36"/>
      <c r="I15" s="37"/>
      <c r="J15" s="36"/>
      <c r="K15" s="36"/>
      <c r="L15" s="36"/>
      <c r="M15" s="35"/>
      <c r="N15" s="35"/>
      <c r="O15" s="35"/>
      <c r="P15" s="35"/>
      <c r="Q15" s="35"/>
      <c r="R15" s="32"/>
      <c r="S15" s="32"/>
      <c r="T15" s="32"/>
      <c r="U15" s="34"/>
      <c r="V15" s="34"/>
      <c r="W15" s="32"/>
      <c r="X15" s="32"/>
      <c r="Y15" s="34"/>
      <c r="Z15" s="32"/>
      <c r="AA15" s="36"/>
      <c r="AB15" s="78"/>
      <c r="AC15" s="78"/>
      <c r="AD15" s="78"/>
      <c r="AE15" s="78"/>
      <c r="AF15" s="78"/>
      <c r="AG15" s="78"/>
      <c r="AH15" s="34"/>
      <c r="AI15" s="78"/>
      <c r="AJ15" s="79"/>
      <c r="AK15" s="32"/>
      <c r="AL15" s="32"/>
      <c r="AM15" s="33"/>
      <c r="AN15" s="33"/>
      <c r="AO15" s="32"/>
      <c r="AP15" s="31"/>
      <c r="AQ15" s="86"/>
      <c r="AR15" s="86"/>
      <c r="AS15" s="86"/>
      <c r="AT15" s="86"/>
      <c r="AU15" s="23"/>
      <c r="AV15" s="30"/>
      <c r="AW15" s="30"/>
      <c r="AX15" s="30"/>
      <c r="AY15" s="30"/>
      <c r="AZ15" s="30"/>
      <c r="BA15" s="30"/>
      <c r="BB15" s="30"/>
      <c r="BC15" s="30"/>
      <c r="BD15" s="30"/>
      <c r="BE15" s="30"/>
      <c r="BF15" s="24"/>
      <c r="BG15" s="23"/>
      <c r="BH15" s="30"/>
      <c r="BI15" s="30"/>
      <c r="BJ15" s="30"/>
      <c r="BK15" s="30"/>
      <c r="BL15" s="30"/>
      <c r="BM15" s="30"/>
      <c r="BN15" s="30"/>
      <c r="BO15" s="30"/>
      <c r="BP15" s="30"/>
      <c r="BQ15" s="30"/>
      <c r="BR15" s="24"/>
      <c r="BS15" s="23"/>
      <c r="BT15" s="30"/>
      <c r="BU15" s="30"/>
      <c r="BV15" s="30"/>
      <c r="BW15" s="30"/>
      <c r="BX15" s="30"/>
      <c r="BY15" s="30"/>
      <c r="BZ15" s="24"/>
    </row>
    <row r="16" spans="1:78">
      <c r="A16" s="38">
        <v>9</v>
      </c>
      <c r="B16" s="38"/>
      <c r="C16" s="38"/>
      <c r="D16" s="38"/>
      <c r="E16" s="38"/>
      <c r="F16" s="36"/>
      <c r="G16" s="36"/>
      <c r="H16" s="36"/>
      <c r="I16" s="37"/>
      <c r="J16" s="36"/>
      <c r="K16" s="36"/>
      <c r="L16" s="36"/>
      <c r="M16" s="35"/>
      <c r="N16" s="35"/>
      <c r="O16" s="35"/>
      <c r="P16" s="35"/>
      <c r="Q16" s="35"/>
      <c r="R16" s="32"/>
      <c r="S16" s="32"/>
      <c r="T16" s="32"/>
      <c r="U16" s="34"/>
      <c r="V16" s="34"/>
      <c r="W16" s="32"/>
      <c r="X16" s="32"/>
      <c r="Y16" s="34"/>
      <c r="Z16" s="32"/>
      <c r="AA16" s="36"/>
      <c r="AB16" s="78"/>
      <c r="AC16" s="78"/>
      <c r="AD16" s="78"/>
      <c r="AE16" s="78"/>
      <c r="AF16" s="78"/>
      <c r="AG16" s="78"/>
      <c r="AH16" s="34"/>
      <c r="AI16" s="78"/>
      <c r="AJ16" s="79"/>
      <c r="AK16" s="32"/>
      <c r="AL16" s="32"/>
      <c r="AM16" s="33"/>
      <c r="AN16" s="33"/>
      <c r="AO16" s="32"/>
      <c r="AP16" s="31"/>
      <c r="AQ16" s="86"/>
      <c r="AR16" s="86"/>
      <c r="AS16" s="86"/>
      <c r="AT16" s="86"/>
      <c r="AU16" s="23"/>
      <c r="AV16" s="30"/>
      <c r="AW16" s="30"/>
      <c r="AX16" s="30"/>
      <c r="AY16" s="30"/>
      <c r="AZ16" s="30"/>
      <c r="BA16" s="30"/>
      <c r="BB16" s="30"/>
      <c r="BC16" s="30"/>
      <c r="BD16" s="30"/>
      <c r="BE16" s="30"/>
      <c r="BF16" s="24"/>
      <c r="BG16" s="23"/>
      <c r="BH16" s="30"/>
      <c r="BI16" s="30"/>
      <c r="BJ16" s="30"/>
      <c r="BK16" s="30"/>
      <c r="BL16" s="30"/>
      <c r="BM16" s="30"/>
      <c r="BN16" s="30"/>
      <c r="BO16" s="30"/>
      <c r="BP16" s="30"/>
      <c r="BQ16" s="30"/>
      <c r="BR16" s="24"/>
      <c r="BS16" s="23"/>
      <c r="BT16" s="30"/>
      <c r="BU16" s="30"/>
      <c r="BV16" s="30"/>
      <c r="BW16" s="30"/>
      <c r="BX16" s="30"/>
      <c r="BY16" s="30"/>
      <c r="BZ16" s="24"/>
    </row>
    <row r="17" spans="1:78">
      <c r="A17" s="38">
        <v>10</v>
      </c>
      <c r="B17" s="38"/>
      <c r="C17" s="38"/>
      <c r="D17" s="38"/>
      <c r="E17" s="38"/>
      <c r="F17" s="36"/>
      <c r="G17" s="36"/>
      <c r="H17" s="36"/>
      <c r="I17" s="37"/>
      <c r="J17" s="36"/>
      <c r="K17" s="36"/>
      <c r="L17" s="36"/>
      <c r="M17" s="35"/>
      <c r="N17" s="35"/>
      <c r="O17" s="35"/>
      <c r="P17" s="35"/>
      <c r="Q17" s="35"/>
      <c r="R17" s="32"/>
      <c r="S17" s="32"/>
      <c r="T17" s="32"/>
      <c r="U17" s="34"/>
      <c r="V17" s="34"/>
      <c r="W17" s="32"/>
      <c r="X17" s="32"/>
      <c r="Y17" s="34"/>
      <c r="Z17" s="32"/>
      <c r="AA17" s="36"/>
      <c r="AB17" s="78"/>
      <c r="AC17" s="78"/>
      <c r="AD17" s="78"/>
      <c r="AE17" s="78"/>
      <c r="AF17" s="78"/>
      <c r="AG17" s="78"/>
      <c r="AH17" s="34"/>
      <c r="AI17" s="78"/>
      <c r="AJ17" s="79"/>
      <c r="AK17" s="32"/>
      <c r="AL17" s="32"/>
      <c r="AM17" s="33"/>
      <c r="AN17" s="33"/>
      <c r="AO17" s="32"/>
      <c r="AP17" s="31"/>
      <c r="AQ17" s="86"/>
      <c r="AR17" s="86"/>
      <c r="AS17" s="86"/>
      <c r="AT17" s="86"/>
      <c r="AU17" s="23"/>
      <c r="AV17" s="30"/>
      <c r="AW17" s="30"/>
      <c r="AX17" s="30"/>
      <c r="AY17" s="30"/>
      <c r="AZ17" s="30"/>
      <c r="BA17" s="30"/>
      <c r="BB17" s="30"/>
      <c r="BC17" s="30"/>
      <c r="BD17" s="30"/>
      <c r="BE17" s="30"/>
      <c r="BF17" s="24"/>
      <c r="BG17" s="23"/>
      <c r="BH17" s="30"/>
      <c r="BI17" s="30"/>
      <c r="BJ17" s="30"/>
      <c r="BK17" s="30"/>
      <c r="BL17" s="30"/>
      <c r="BM17" s="30"/>
      <c r="BN17" s="30"/>
      <c r="BO17" s="30"/>
      <c r="BP17" s="30"/>
      <c r="BQ17" s="30"/>
      <c r="BR17" s="24"/>
      <c r="BS17" s="23"/>
      <c r="BT17" s="30"/>
      <c r="BU17" s="30"/>
      <c r="BV17" s="30"/>
      <c r="BW17" s="30"/>
      <c r="BX17" s="30"/>
      <c r="BY17" s="30"/>
      <c r="BZ17" s="24"/>
    </row>
    <row r="18" spans="1:78">
      <c r="A18" s="38">
        <v>11</v>
      </c>
      <c r="B18" s="38"/>
      <c r="C18" s="38"/>
      <c r="D18" s="38"/>
      <c r="E18" s="38"/>
      <c r="F18" s="36"/>
      <c r="G18" s="36"/>
      <c r="H18" s="36"/>
      <c r="I18" s="37"/>
      <c r="J18" s="36"/>
      <c r="K18" s="36"/>
      <c r="L18" s="36"/>
      <c r="M18" s="35"/>
      <c r="N18" s="35"/>
      <c r="O18" s="35"/>
      <c r="P18" s="35"/>
      <c r="Q18" s="35"/>
      <c r="R18" s="32"/>
      <c r="S18" s="32"/>
      <c r="T18" s="32"/>
      <c r="U18" s="34"/>
      <c r="V18" s="34"/>
      <c r="W18" s="32"/>
      <c r="X18" s="32"/>
      <c r="Y18" s="34"/>
      <c r="Z18" s="32"/>
      <c r="AA18" s="36"/>
      <c r="AB18" s="78"/>
      <c r="AC18" s="78"/>
      <c r="AD18" s="78"/>
      <c r="AE18" s="78"/>
      <c r="AF18" s="78"/>
      <c r="AG18" s="78"/>
      <c r="AH18" s="34"/>
      <c r="AI18" s="78"/>
      <c r="AJ18" s="79"/>
      <c r="AK18" s="32"/>
      <c r="AL18" s="32"/>
      <c r="AM18" s="33"/>
      <c r="AN18" s="33"/>
      <c r="AO18" s="32"/>
      <c r="AP18" s="31"/>
      <c r="AQ18" s="86"/>
      <c r="AR18" s="86"/>
      <c r="AS18" s="86"/>
      <c r="AT18" s="86"/>
      <c r="AU18" s="23"/>
      <c r="AV18" s="30"/>
      <c r="AW18" s="30"/>
      <c r="AX18" s="30"/>
      <c r="AY18" s="30"/>
      <c r="AZ18" s="30"/>
      <c r="BA18" s="30"/>
      <c r="BB18" s="30"/>
      <c r="BC18" s="30"/>
      <c r="BD18" s="30"/>
      <c r="BE18" s="30"/>
      <c r="BF18" s="24"/>
      <c r="BG18" s="23"/>
      <c r="BH18" s="30"/>
      <c r="BI18" s="30"/>
      <c r="BJ18" s="30"/>
      <c r="BK18" s="30"/>
      <c r="BL18" s="30"/>
      <c r="BM18" s="30"/>
      <c r="BN18" s="30"/>
      <c r="BO18" s="30"/>
      <c r="BP18" s="30"/>
      <c r="BQ18" s="30"/>
      <c r="BR18" s="24"/>
      <c r="BS18" s="23"/>
      <c r="BT18" s="30"/>
      <c r="BU18" s="30"/>
      <c r="BV18" s="30"/>
      <c r="BW18" s="30"/>
      <c r="BX18" s="30"/>
      <c r="BY18" s="30"/>
      <c r="BZ18" s="24"/>
    </row>
    <row r="19" spans="1:78">
      <c r="A19" s="38">
        <v>12</v>
      </c>
      <c r="B19" s="38"/>
      <c r="C19" s="38"/>
      <c r="D19" s="38"/>
      <c r="E19" s="38"/>
      <c r="F19" s="36"/>
      <c r="G19" s="36"/>
      <c r="H19" s="36"/>
      <c r="I19" s="37"/>
      <c r="J19" s="36"/>
      <c r="K19" s="36"/>
      <c r="L19" s="36"/>
      <c r="M19" s="35"/>
      <c r="N19" s="35"/>
      <c r="O19" s="35"/>
      <c r="P19" s="35"/>
      <c r="Q19" s="35"/>
      <c r="R19" s="32"/>
      <c r="S19" s="32"/>
      <c r="T19" s="32"/>
      <c r="U19" s="34"/>
      <c r="V19" s="34"/>
      <c r="W19" s="32"/>
      <c r="X19" s="32"/>
      <c r="Y19" s="34"/>
      <c r="Z19" s="32"/>
      <c r="AA19" s="36"/>
      <c r="AB19" s="78"/>
      <c r="AC19" s="78"/>
      <c r="AD19" s="78"/>
      <c r="AE19" s="78"/>
      <c r="AF19" s="78"/>
      <c r="AG19" s="78"/>
      <c r="AH19" s="34"/>
      <c r="AI19" s="78"/>
      <c r="AJ19" s="79"/>
      <c r="AK19" s="32"/>
      <c r="AL19" s="32"/>
      <c r="AM19" s="33"/>
      <c r="AN19" s="33"/>
      <c r="AO19" s="32"/>
      <c r="AP19" s="31"/>
      <c r="AQ19" s="86"/>
      <c r="AR19" s="86"/>
      <c r="AS19" s="86"/>
      <c r="AT19" s="86"/>
      <c r="AU19" s="23"/>
      <c r="AV19" s="30"/>
      <c r="AW19" s="30"/>
      <c r="AX19" s="30"/>
      <c r="AY19" s="30"/>
      <c r="AZ19" s="30"/>
      <c r="BA19" s="30"/>
      <c r="BB19" s="30"/>
      <c r="BC19" s="30"/>
      <c r="BD19" s="30"/>
      <c r="BE19" s="30"/>
      <c r="BF19" s="24"/>
      <c r="BG19" s="23"/>
      <c r="BH19" s="30"/>
      <c r="BI19" s="30"/>
      <c r="BJ19" s="30"/>
      <c r="BK19" s="30"/>
      <c r="BL19" s="30"/>
      <c r="BM19" s="30"/>
      <c r="BN19" s="30"/>
      <c r="BO19" s="30"/>
      <c r="BP19" s="30"/>
      <c r="BQ19" s="30"/>
      <c r="BR19" s="24"/>
      <c r="BS19" s="23"/>
      <c r="BT19" s="30"/>
      <c r="BU19" s="30"/>
      <c r="BV19" s="30"/>
      <c r="BW19" s="30"/>
      <c r="BX19" s="30"/>
      <c r="BY19" s="30"/>
      <c r="BZ19" s="24"/>
    </row>
    <row r="20" spans="1:78">
      <c r="A20" s="38">
        <v>13</v>
      </c>
      <c r="B20" s="38"/>
      <c r="C20" s="38"/>
      <c r="D20" s="38"/>
      <c r="E20" s="38"/>
      <c r="F20" s="36"/>
      <c r="G20" s="36"/>
      <c r="H20" s="36"/>
      <c r="I20" s="37"/>
      <c r="J20" s="36"/>
      <c r="K20" s="36"/>
      <c r="L20" s="36"/>
      <c r="M20" s="35"/>
      <c r="N20" s="35"/>
      <c r="O20" s="35"/>
      <c r="P20" s="35"/>
      <c r="Q20" s="35"/>
      <c r="R20" s="32"/>
      <c r="S20" s="32"/>
      <c r="T20" s="32"/>
      <c r="U20" s="34"/>
      <c r="V20" s="34"/>
      <c r="W20" s="32"/>
      <c r="X20" s="32"/>
      <c r="Y20" s="34"/>
      <c r="Z20" s="32"/>
      <c r="AA20" s="36"/>
      <c r="AB20" s="78"/>
      <c r="AC20" s="78"/>
      <c r="AD20" s="78"/>
      <c r="AE20" s="78"/>
      <c r="AF20" s="78"/>
      <c r="AG20" s="78"/>
      <c r="AH20" s="34"/>
      <c r="AI20" s="78"/>
      <c r="AJ20" s="79"/>
      <c r="AK20" s="32"/>
      <c r="AL20" s="32"/>
      <c r="AM20" s="33"/>
      <c r="AN20" s="33"/>
      <c r="AO20" s="32"/>
      <c r="AP20" s="31"/>
      <c r="AQ20" s="86"/>
      <c r="AR20" s="86"/>
      <c r="AS20" s="86"/>
      <c r="AT20" s="86"/>
      <c r="AU20" s="23"/>
      <c r="AV20" s="30"/>
      <c r="AW20" s="30"/>
      <c r="AX20" s="30"/>
      <c r="AY20" s="30"/>
      <c r="AZ20" s="30"/>
      <c r="BA20" s="30"/>
      <c r="BB20" s="30"/>
      <c r="BC20" s="30"/>
      <c r="BD20" s="30"/>
      <c r="BE20" s="30"/>
      <c r="BF20" s="24"/>
      <c r="BG20" s="23"/>
      <c r="BH20" s="30"/>
      <c r="BI20" s="30"/>
      <c r="BJ20" s="30"/>
      <c r="BK20" s="30"/>
      <c r="BL20" s="30"/>
      <c r="BM20" s="30"/>
      <c r="BN20" s="30"/>
      <c r="BO20" s="30"/>
      <c r="BP20" s="30"/>
      <c r="BQ20" s="30"/>
      <c r="BR20" s="24"/>
      <c r="BS20" s="23"/>
      <c r="BT20" s="30"/>
      <c r="BU20" s="30"/>
      <c r="BV20" s="30"/>
      <c r="BW20" s="30"/>
      <c r="BX20" s="30"/>
      <c r="BY20" s="30"/>
      <c r="BZ20" s="24"/>
    </row>
    <row r="21" spans="1:78">
      <c r="A21" s="38">
        <v>14</v>
      </c>
      <c r="B21" s="38"/>
      <c r="C21" s="38"/>
      <c r="D21" s="38"/>
      <c r="E21" s="38"/>
      <c r="F21" s="36"/>
      <c r="G21" s="36"/>
      <c r="H21" s="36"/>
      <c r="I21" s="37"/>
      <c r="J21" s="36"/>
      <c r="K21" s="36"/>
      <c r="L21" s="36"/>
      <c r="M21" s="35"/>
      <c r="N21" s="35"/>
      <c r="O21" s="35"/>
      <c r="P21" s="35"/>
      <c r="Q21" s="35"/>
      <c r="R21" s="32"/>
      <c r="S21" s="32"/>
      <c r="T21" s="32"/>
      <c r="U21" s="34"/>
      <c r="V21" s="34"/>
      <c r="W21" s="32"/>
      <c r="X21" s="32"/>
      <c r="Y21" s="34"/>
      <c r="Z21" s="32"/>
      <c r="AA21" s="36"/>
      <c r="AB21" s="78"/>
      <c r="AC21" s="78"/>
      <c r="AD21" s="78"/>
      <c r="AE21" s="78"/>
      <c r="AF21" s="78"/>
      <c r="AG21" s="78"/>
      <c r="AH21" s="34"/>
      <c r="AI21" s="78"/>
      <c r="AJ21" s="79"/>
      <c r="AK21" s="32"/>
      <c r="AL21" s="32"/>
      <c r="AM21" s="33"/>
      <c r="AN21" s="33"/>
      <c r="AO21" s="32"/>
      <c r="AP21" s="31"/>
      <c r="AQ21" s="86"/>
      <c r="AR21" s="86"/>
      <c r="AS21" s="86"/>
      <c r="AT21" s="86"/>
      <c r="AU21" s="23"/>
      <c r="AV21" s="30"/>
      <c r="AW21" s="30"/>
      <c r="AX21" s="30"/>
      <c r="AY21" s="30"/>
      <c r="AZ21" s="30"/>
      <c r="BA21" s="30"/>
      <c r="BB21" s="30"/>
      <c r="BC21" s="30"/>
      <c r="BD21" s="30"/>
      <c r="BE21" s="30"/>
      <c r="BF21" s="24"/>
      <c r="BG21" s="23"/>
      <c r="BH21" s="30"/>
      <c r="BI21" s="30"/>
      <c r="BJ21" s="30"/>
      <c r="BK21" s="30"/>
      <c r="BL21" s="30"/>
      <c r="BM21" s="30"/>
      <c r="BN21" s="30"/>
      <c r="BO21" s="30"/>
      <c r="BP21" s="30"/>
      <c r="BQ21" s="30"/>
      <c r="BR21" s="24"/>
      <c r="BS21" s="23"/>
      <c r="BT21" s="30"/>
      <c r="BU21" s="30"/>
      <c r="BV21" s="30"/>
      <c r="BW21" s="30"/>
      <c r="BX21" s="30"/>
      <c r="BY21" s="30"/>
      <c r="BZ21" s="24"/>
    </row>
    <row r="22" spans="1:78">
      <c r="A22" s="38">
        <v>15</v>
      </c>
      <c r="B22" s="38"/>
      <c r="C22" s="38"/>
      <c r="D22" s="38"/>
      <c r="E22" s="38"/>
      <c r="F22" s="36"/>
      <c r="G22" s="36"/>
      <c r="H22" s="36"/>
      <c r="I22" s="37"/>
      <c r="J22" s="36"/>
      <c r="K22" s="36"/>
      <c r="L22" s="36"/>
      <c r="M22" s="35"/>
      <c r="N22" s="35"/>
      <c r="O22" s="35"/>
      <c r="P22" s="35"/>
      <c r="Q22" s="35"/>
      <c r="R22" s="32"/>
      <c r="S22" s="32"/>
      <c r="T22" s="32"/>
      <c r="U22" s="34"/>
      <c r="V22" s="34"/>
      <c r="W22" s="32"/>
      <c r="X22" s="32"/>
      <c r="Y22" s="34"/>
      <c r="Z22" s="32"/>
      <c r="AA22" s="36"/>
      <c r="AB22" s="78"/>
      <c r="AC22" s="78"/>
      <c r="AD22" s="78"/>
      <c r="AE22" s="78"/>
      <c r="AF22" s="78"/>
      <c r="AG22" s="78"/>
      <c r="AH22" s="34"/>
      <c r="AI22" s="78"/>
      <c r="AJ22" s="79"/>
      <c r="AK22" s="32"/>
      <c r="AL22" s="32"/>
      <c r="AM22" s="33"/>
      <c r="AN22" s="33"/>
      <c r="AO22" s="32"/>
      <c r="AP22" s="31"/>
      <c r="AQ22" s="86"/>
      <c r="AR22" s="86"/>
      <c r="AS22" s="86"/>
      <c r="AT22" s="86"/>
      <c r="AU22" s="23"/>
      <c r="AV22" s="30"/>
      <c r="AW22" s="30"/>
      <c r="AX22" s="30"/>
      <c r="AY22" s="30"/>
      <c r="AZ22" s="30"/>
      <c r="BA22" s="30"/>
      <c r="BB22" s="30"/>
      <c r="BC22" s="30"/>
      <c r="BD22" s="30"/>
      <c r="BE22" s="30"/>
      <c r="BF22" s="24"/>
      <c r="BG22" s="23"/>
      <c r="BH22" s="30"/>
      <c r="BI22" s="30"/>
      <c r="BJ22" s="30"/>
      <c r="BK22" s="30"/>
      <c r="BL22" s="30"/>
      <c r="BM22" s="30"/>
      <c r="BN22" s="30"/>
      <c r="BO22" s="30"/>
      <c r="BP22" s="30"/>
      <c r="BQ22" s="30"/>
      <c r="BR22" s="24"/>
      <c r="BS22" s="23"/>
      <c r="BT22" s="30"/>
      <c r="BU22" s="30"/>
      <c r="BV22" s="30"/>
      <c r="BW22" s="30"/>
      <c r="BX22" s="30"/>
      <c r="BY22" s="30"/>
      <c r="BZ22" s="24"/>
    </row>
    <row r="23" spans="1:78">
      <c r="A23" s="38">
        <v>16</v>
      </c>
      <c r="B23" s="38"/>
      <c r="C23" s="38"/>
      <c r="D23" s="38"/>
      <c r="E23" s="38"/>
      <c r="F23" s="36"/>
      <c r="G23" s="36"/>
      <c r="H23" s="36"/>
      <c r="I23" s="37"/>
      <c r="J23" s="36"/>
      <c r="K23" s="36"/>
      <c r="L23" s="36"/>
      <c r="M23" s="35"/>
      <c r="N23" s="35"/>
      <c r="O23" s="35"/>
      <c r="P23" s="35"/>
      <c r="Q23" s="35"/>
      <c r="R23" s="32"/>
      <c r="S23" s="32"/>
      <c r="T23" s="32"/>
      <c r="U23" s="34"/>
      <c r="V23" s="34"/>
      <c r="W23" s="32"/>
      <c r="X23" s="32"/>
      <c r="Y23" s="34"/>
      <c r="Z23" s="32"/>
      <c r="AA23" s="36"/>
      <c r="AB23" s="78"/>
      <c r="AC23" s="78"/>
      <c r="AD23" s="78"/>
      <c r="AE23" s="78"/>
      <c r="AF23" s="78"/>
      <c r="AG23" s="78"/>
      <c r="AH23" s="34"/>
      <c r="AI23" s="78"/>
      <c r="AJ23" s="79"/>
      <c r="AK23" s="32"/>
      <c r="AL23" s="32"/>
      <c r="AM23" s="33"/>
      <c r="AN23" s="33"/>
      <c r="AO23" s="32"/>
      <c r="AP23" s="31"/>
      <c r="AQ23" s="86"/>
      <c r="AR23" s="86"/>
      <c r="AS23" s="86"/>
      <c r="AT23" s="86"/>
      <c r="AU23" s="23"/>
      <c r="AV23" s="30"/>
      <c r="AW23" s="30"/>
      <c r="AX23" s="30"/>
      <c r="AY23" s="30"/>
      <c r="AZ23" s="30"/>
      <c r="BA23" s="30"/>
      <c r="BB23" s="30"/>
      <c r="BC23" s="30"/>
      <c r="BD23" s="30"/>
      <c r="BE23" s="30"/>
      <c r="BF23" s="24"/>
      <c r="BG23" s="23"/>
      <c r="BH23" s="30"/>
      <c r="BI23" s="30"/>
      <c r="BJ23" s="30"/>
      <c r="BK23" s="30"/>
      <c r="BL23" s="30"/>
      <c r="BM23" s="30"/>
      <c r="BN23" s="30"/>
      <c r="BO23" s="30"/>
      <c r="BP23" s="30"/>
      <c r="BQ23" s="30"/>
      <c r="BR23" s="24"/>
      <c r="BS23" s="23"/>
      <c r="BT23" s="30"/>
      <c r="BU23" s="30"/>
      <c r="BV23" s="30"/>
      <c r="BW23" s="30"/>
      <c r="BX23" s="30"/>
      <c r="BY23" s="30"/>
      <c r="BZ23" s="24"/>
    </row>
    <row r="24" spans="1:78">
      <c r="A24" s="38">
        <v>17</v>
      </c>
      <c r="B24" s="38"/>
      <c r="C24" s="38"/>
      <c r="D24" s="38"/>
      <c r="E24" s="38"/>
      <c r="F24" s="36"/>
      <c r="G24" s="36"/>
      <c r="H24" s="36"/>
      <c r="I24" s="37"/>
      <c r="J24" s="36"/>
      <c r="K24" s="36"/>
      <c r="L24" s="36"/>
      <c r="M24" s="35"/>
      <c r="N24" s="35"/>
      <c r="O24" s="35"/>
      <c r="P24" s="35"/>
      <c r="Q24" s="35"/>
      <c r="R24" s="32"/>
      <c r="S24" s="32"/>
      <c r="T24" s="32"/>
      <c r="U24" s="34"/>
      <c r="V24" s="34"/>
      <c r="W24" s="32"/>
      <c r="X24" s="32"/>
      <c r="Y24" s="34"/>
      <c r="Z24" s="32"/>
      <c r="AA24" s="36"/>
      <c r="AB24" s="78"/>
      <c r="AC24" s="78"/>
      <c r="AD24" s="78"/>
      <c r="AE24" s="78"/>
      <c r="AF24" s="78"/>
      <c r="AG24" s="78"/>
      <c r="AH24" s="34"/>
      <c r="AI24" s="78"/>
      <c r="AJ24" s="79"/>
      <c r="AK24" s="32"/>
      <c r="AL24" s="32"/>
      <c r="AM24" s="33"/>
      <c r="AN24" s="33"/>
      <c r="AO24" s="32"/>
      <c r="AP24" s="31"/>
      <c r="AQ24" s="86"/>
      <c r="AR24" s="86"/>
      <c r="AS24" s="86"/>
      <c r="AT24" s="86"/>
      <c r="AU24" s="23"/>
      <c r="AV24" s="30"/>
      <c r="AW24" s="30"/>
      <c r="AX24" s="30"/>
      <c r="AY24" s="30"/>
      <c r="AZ24" s="30"/>
      <c r="BA24" s="30"/>
      <c r="BB24" s="30"/>
      <c r="BC24" s="30"/>
      <c r="BD24" s="30"/>
      <c r="BE24" s="30"/>
      <c r="BF24" s="24"/>
      <c r="BG24" s="23"/>
      <c r="BH24" s="30"/>
      <c r="BI24" s="30"/>
      <c r="BJ24" s="30"/>
      <c r="BK24" s="30"/>
      <c r="BL24" s="30"/>
      <c r="BM24" s="30"/>
      <c r="BN24" s="30"/>
      <c r="BO24" s="30"/>
      <c r="BP24" s="30"/>
      <c r="BQ24" s="30"/>
      <c r="BR24" s="24"/>
      <c r="BS24" s="23"/>
      <c r="BT24" s="30"/>
      <c r="BU24" s="30"/>
      <c r="BV24" s="30"/>
      <c r="BW24" s="30"/>
      <c r="BX24" s="30"/>
      <c r="BY24" s="30"/>
      <c r="BZ24" s="24"/>
    </row>
    <row r="25" spans="1:78">
      <c r="A25" s="38">
        <v>18</v>
      </c>
      <c r="B25" s="38"/>
      <c r="C25" s="38"/>
      <c r="D25" s="38"/>
      <c r="E25" s="38"/>
      <c r="F25" s="36"/>
      <c r="G25" s="36"/>
      <c r="H25" s="36"/>
      <c r="I25" s="37"/>
      <c r="J25" s="36"/>
      <c r="K25" s="36"/>
      <c r="L25" s="36"/>
      <c r="M25" s="35"/>
      <c r="N25" s="35"/>
      <c r="O25" s="35"/>
      <c r="P25" s="35"/>
      <c r="Q25" s="35"/>
      <c r="R25" s="32"/>
      <c r="S25" s="32"/>
      <c r="T25" s="32"/>
      <c r="U25" s="34"/>
      <c r="V25" s="34"/>
      <c r="W25" s="32"/>
      <c r="X25" s="32"/>
      <c r="Y25" s="34"/>
      <c r="Z25" s="32"/>
      <c r="AA25" s="36"/>
      <c r="AB25" s="78"/>
      <c r="AC25" s="78"/>
      <c r="AD25" s="78"/>
      <c r="AE25" s="78"/>
      <c r="AF25" s="78"/>
      <c r="AG25" s="78"/>
      <c r="AH25" s="34"/>
      <c r="AI25" s="78"/>
      <c r="AJ25" s="79"/>
      <c r="AK25" s="32"/>
      <c r="AL25" s="32"/>
      <c r="AM25" s="33"/>
      <c r="AN25" s="33"/>
      <c r="AO25" s="32"/>
      <c r="AP25" s="31"/>
      <c r="AQ25" s="86"/>
      <c r="AR25" s="86"/>
      <c r="AS25" s="86"/>
      <c r="AT25" s="86"/>
      <c r="AU25" s="23"/>
      <c r="AV25" s="30"/>
      <c r="AW25" s="30"/>
      <c r="AX25" s="30"/>
      <c r="AY25" s="30"/>
      <c r="AZ25" s="30"/>
      <c r="BA25" s="30"/>
      <c r="BB25" s="30"/>
      <c r="BC25" s="30"/>
      <c r="BD25" s="30"/>
      <c r="BE25" s="30"/>
      <c r="BF25" s="24"/>
      <c r="BG25" s="23"/>
      <c r="BH25" s="30"/>
      <c r="BI25" s="30"/>
      <c r="BJ25" s="30"/>
      <c r="BK25" s="30"/>
      <c r="BL25" s="30"/>
      <c r="BM25" s="30"/>
      <c r="BN25" s="30"/>
      <c r="BO25" s="30"/>
      <c r="BP25" s="30"/>
      <c r="BQ25" s="30"/>
      <c r="BR25" s="24"/>
      <c r="BS25" s="23"/>
      <c r="BT25" s="30"/>
      <c r="BU25" s="30"/>
      <c r="BV25" s="30"/>
      <c r="BW25" s="30"/>
      <c r="BX25" s="30"/>
      <c r="BY25" s="30"/>
      <c r="BZ25" s="24"/>
    </row>
    <row r="26" spans="1:78">
      <c r="A26" s="38">
        <v>19</v>
      </c>
      <c r="B26" s="38"/>
      <c r="C26" s="38"/>
      <c r="D26" s="38"/>
      <c r="E26" s="38"/>
      <c r="F26" s="36"/>
      <c r="G26" s="36"/>
      <c r="H26" s="36"/>
      <c r="I26" s="37"/>
      <c r="J26" s="36"/>
      <c r="K26" s="36"/>
      <c r="L26" s="36"/>
      <c r="M26" s="35"/>
      <c r="N26" s="35"/>
      <c r="O26" s="35"/>
      <c r="P26" s="35"/>
      <c r="Q26" s="35"/>
      <c r="R26" s="32"/>
      <c r="S26" s="32"/>
      <c r="T26" s="32"/>
      <c r="U26" s="34"/>
      <c r="V26" s="34"/>
      <c r="W26" s="32"/>
      <c r="X26" s="32"/>
      <c r="Y26" s="34"/>
      <c r="Z26" s="32"/>
      <c r="AA26" s="36"/>
      <c r="AB26" s="78"/>
      <c r="AC26" s="78"/>
      <c r="AD26" s="78"/>
      <c r="AE26" s="78"/>
      <c r="AF26" s="78"/>
      <c r="AG26" s="78"/>
      <c r="AH26" s="34"/>
      <c r="AI26" s="78"/>
      <c r="AJ26" s="79"/>
      <c r="AK26" s="32"/>
      <c r="AL26" s="32"/>
      <c r="AM26" s="33"/>
      <c r="AN26" s="33"/>
      <c r="AO26" s="32"/>
      <c r="AP26" s="31"/>
      <c r="AQ26" s="86"/>
      <c r="AR26" s="86"/>
      <c r="AS26" s="86"/>
      <c r="AT26" s="86"/>
      <c r="AU26" s="23"/>
      <c r="AV26" s="30"/>
      <c r="AW26" s="30"/>
      <c r="AX26" s="30"/>
      <c r="AY26" s="30"/>
      <c r="AZ26" s="30"/>
      <c r="BA26" s="30"/>
      <c r="BB26" s="30"/>
      <c r="BC26" s="30"/>
      <c r="BD26" s="30"/>
      <c r="BE26" s="30"/>
      <c r="BF26" s="24"/>
      <c r="BG26" s="23"/>
      <c r="BH26" s="30"/>
      <c r="BI26" s="30"/>
      <c r="BJ26" s="30"/>
      <c r="BK26" s="30"/>
      <c r="BL26" s="30"/>
      <c r="BM26" s="30"/>
      <c r="BN26" s="30"/>
      <c r="BO26" s="30"/>
      <c r="BP26" s="30"/>
      <c r="BQ26" s="30"/>
      <c r="BR26" s="24"/>
      <c r="BS26" s="23"/>
      <c r="BT26" s="30"/>
      <c r="BU26" s="30"/>
      <c r="BV26" s="30"/>
      <c r="BW26" s="30"/>
      <c r="BX26" s="30"/>
      <c r="BY26" s="30"/>
      <c r="BZ26" s="24"/>
    </row>
    <row r="27" spans="1:78">
      <c r="A27" s="38">
        <v>20</v>
      </c>
      <c r="B27" s="38"/>
      <c r="C27" s="38"/>
      <c r="D27" s="38"/>
      <c r="E27" s="38"/>
      <c r="F27" s="36"/>
      <c r="G27" s="36"/>
      <c r="H27" s="36"/>
      <c r="I27" s="37"/>
      <c r="J27" s="36"/>
      <c r="K27" s="36"/>
      <c r="L27" s="36"/>
      <c r="M27" s="35"/>
      <c r="N27" s="35"/>
      <c r="O27" s="35"/>
      <c r="P27" s="35"/>
      <c r="Q27" s="35"/>
      <c r="R27" s="32"/>
      <c r="S27" s="32"/>
      <c r="T27" s="32"/>
      <c r="U27" s="34"/>
      <c r="V27" s="34"/>
      <c r="W27" s="32"/>
      <c r="X27" s="32"/>
      <c r="Y27" s="34"/>
      <c r="Z27" s="32"/>
      <c r="AA27" s="36"/>
      <c r="AB27" s="78"/>
      <c r="AC27" s="78"/>
      <c r="AD27" s="78"/>
      <c r="AE27" s="78"/>
      <c r="AF27" s="78"/>
      <c r="AG27" s="78"/>
      <c r="AH27" s="34"/>
      <c r="AI27" s="78"/>
      <c r="AJ27" s="79"/>
      <c r="AK27" s="32"/>
      <c r="AL27" s="32"/>
      <c r="AM27" s="33"/>
      <c r="AN27" s="33"/>
      <c r="AO27" s="32"/>
      <c r="AP27" s="31"/>
      <c r="AQ27" s="86"/>
      <c r="AR27" s="86"/>
      <c r="AS27" s="86"/>
      <c r="AT27" s="86"/>
      <c r="AU27" s="23"/>
      <c r="AV27" s="30"/>
      <c r="AW27" s="30"/>
      <c r="AX27" s="30"/>
      <c r="AY27" s="30"/>
      <c r="AZ27" s="30"/>
      <c r="BA27" s="30"/>
      <c r="BB27" s="30"/>
      <c r="BC27" s="30"/>
      <c r="BD27" s="30"/>
      <c r="BE27" s="30"/>
      <c r="BF27" s="24"/>
      <c r="BG27" s="23"/>
      <c r="BH27" s="30"/>
      <c r="BI27" s="30"/>
      <c r="BJ27" s="30"/>
      <c r="BK27" s="30"/>
      <c r="BL27" s="30"/>
      <c r="BM27" s="30"/>
      <c r="BN27" s="30"/>
      <c r="BO27" s="30"/>
      <c r="BP27" s="30"/>
      <c r="BQ27" s="30"/>
      <c r="BR27" s="24"/>
      <c r="BS27" s="23"/>
      <c r="BT27" s="30"/>
      <c r="BU27" s="30"/>
      <c r="BV27" s="30"/>
      <c r="BW27" s="30"/>
      <c r="BX27" s="30"/>
      <c r="BY27" s="30"/>
      <c r="BZ27" s="24"/>
    </row>
    <row r="28" spans="1:78">
      <c r="A28" s="38">
        <v>21</v>
      </c>
      <c r="B28" s="38"/>
      <c r="C28" s="38"/>
      <c r="D28" s="38"/>
      <c r="E28" s="38"/>
      <c r="F28" s="36"/>
      <c r="G28" s="36"/>
      <c r="H28" s="36"/>
      <c r="I28" s="37"/>
      <c r="J28" s="36"/>
      <c r="K28" s="36"/>
      <c r="L28" s="36"/>
      <c r="M28" s="35"/>
      <c r="N28" s="35"/>
      <c r="O28" s="35"/>
      <c r="P28" s="35"/>
      <c r="Q28" s="35"/>
      <c r="R28" s="32"/>
      <c r="S28" s="32"/>
      <c r="T28" s="32"/>
      <c r="U28" s="34"/>
      <c r="V28" s="34"/>
      <c r="W28" s="32"/>
      <c r="X28" s="32"/>
      <c r="Y28" s="34"/>
      <c r="Z28" s="32"/>
      <c r="AA28" s="36"/>
      <c r="AB28" s="78"/>
      <c r="AC28" s="78"/>
      <c r="AD28" s="78"/>
      <c r="AE28" s="78"/>
      <c r="AF28" s="78"/>
      <c r="AG28" s="78"/>
      <c r="AH28" s="34"/>
      <c r="AI28" s="78"/>
      <c r="AJ28" s="79"/>
      <c r="AK28" s="32"/>
      <c r="AL28" s="32"/>
      <c r="AM28" s="33"/>
      <c r="AN28" s="33"/>
      <c r="AO28" s="32"/>
      <c r="AP28" s="31"/>
      <c r="AQ28" s="86"/>
      <c r="AR28" s="86"/>
      <c r="AS28" s="86"/>
      <c r="AT28" s="86"/>
      <c r="AU28" s="23"/>
      <c r="AV28" s="30"/>
      <c r="AW28" s="30"/>
      <c r="AX28" s="30"/>
      <c r="AY28" s="30"/>
      <c r="AZ28" s="30"/>
      <c r="BA28" s="30"/>
      <c r="BB28" s="30"/>
      <c r="BC28" s="30"/>
      <c r="BD28" s="30"/>
      <c r="BE28" s="30"/>
      <c r="BF28" s="24"/>
      <c r="BG28" s="23"/>
      <c r="BH28" s="30"/>
      <c r="BI28" s="30"/>
      <c r="BJ28" s="30"/>
      <c r="BK28" s="30"/>
      <c r="BL28" s="30"/>
      <c r="BM28" s="30"/>
      <c r="BN28" s="30"/>
      <c r="BO28" s="30"/>
      <c r="BP28" s="30"/>
      <c r="BQ28" s="30"/>
      <c r="BR28" s="24"/>
      <c r="BS28" s="23"/>
      <c r="BT28" s="30"/>
      <c r="BU28" s="30"/>
      <c r="BV28" s="30"/>
      <c r="BW28" s="30"/>
      <c r="BX28" s="30"/>
      <c r="BY28" s="30"/>
      <c r="BZ28" s="24"/>
    </row>
  </sheetData>
  <mergeCells count="11">
    <mergeCell ref="AU6:BF6"/>
    <mergeCell ref="BG6:BR6"/>
    <mergeCell ref="BS6:BZ6"/>
    <mergeCell ref="AU5:BZ5"/>
    <mergeCell ref="A2:O3"/>
    <mergeCell ref="A5:AT5"/>
    <mergeCell ref="A6:A7"/>
    <mergeCell ref="B6:B7"/>
    <mergeCell ref="C6:C7"/>
    <mergeCell ref="D6:D7"/>
    <mergeCell ref="E6:E7"/>
  </mergeCells>
  <phoneticPr fontId="2" type="noConversion"/>
  <dataValidations xWindow="1114" yWindow="729" count="10">
    <dataValidation type="list" allowBlank="1" showInputMessage="1" showErrorMessage="1" errorTitle="오류 안내" error="다음 중 하나를 선택하여 입력해 주세요." promptTitle="입력 안내" prompt="다음 중 하나를 선택하여 입력해 주세요._x000a_" sqref="AK8:AK28" xr:uid="{C0F89183-1904-4C65-9115-949B50254CB8}">
      <formula1>"최초 기관투자, 최초 납입, 주요 투자조건 결정"</formula1>
    </dataValidation>
    <dataValidation type="list" allowBlank="1" showInputMessage="1" showErrorMessage="1" errorTitle="오류 안내" error="다음 중 하나를 선택하여 입력해 주세요." promptTitle="입력 안내" prompt="다음 중 하나를 선택하여 입력해 주세요._x000a_" sqref="AL8:AL28" xr:uid="{D2F27AF9-3F49-498B-A9CD-365040976FD0}">
      <formula1>"준비, 심사, 공모, 상장, 계획없음"</formula1>
    </dataValidation>
    <dataValidation type="list" allowBlank="1" showInputMessage="1" showErrorMessage="1" errorTitle="오류 안내" error="다음 중 하나를 선택하여 입력해 주세요." promptTitle="입력 안내" prompt="다음 중 하나를 선택하여 입력해 주세요._x000a_" sqref="T8:T28 W8:X28 Z8:Z28" xr:uid="{587ECC89-5497-44FE-98B5-2A1CD300EC62}">
      <formula1>"있음, 없음"</formula1>
    </dataValidation>
    <dataValidation type="list" allowBlank="1" showInputMessage="1" showErrorMessage="1" errorTitle="오류 안내" error="다음 중 하나를 선택하여 입력해 주세요." promptTitle="입력 안내" prompt="다음 중 하나를 선택하여 입력해 주세요." sqref="Q8:Q28" xr:uid="{1AC60F4C-6F53-4FB7-989C-D5BC88BD792B}">
      <formula1>"사업유지, 폐업"</formula1>
    </dataValidation>
    <dataValidation type="list" allowBlank="1" showInputMessage="1" showErrorMessage="1" errorTitle="오류 안내" error="다음 중 하나를 선택하여 입력해 주세요." promptTitle="입력 안내" prompt="다음 중 하나를 선택하여 입력해 주세요._x000a_- 시드(Seed) : 창업조기자금 및 제품개발을 위한 투자 유치(통상 수천~수억원)_x000a_- 시리즈 A : 시제품개발 및 시장 진출 직전까지 받는 투자 유치(통상 5~15억원)_x000a_- 시리즈 B : 제품생산 및 인재채용 등 자금조달을 위한 투자 유치(통상 20~150억 원)_x000a_- 시리즈 C : M&amp;A 및 IPO 직전에 받는 투자 유치(통상 수백억원)" sqref="P8:P28" xr:uid="{6BA6A4A7-36E5-4ED6-A15B-37B5BDD8BF42}">
      <formula1>"시드(Seed), 시리즈 A, 시리즈 B, 시리즈 C"</formula1>
    </dataValidation>
    <dataValidation type="list" allowBlank="1" showInputMessage="1" showErrorMessage="1" errorTitle="오류 안내" error="다음 중 하나를 선택하여 입력해 주세요." promptTitle="입력 안내" prompt="다음 중 하나를 선택하여 입력해 주세요." sqref="O8:O28" xr:uid="{D8F5861C-CB96-4FA4-B475-6C6925577A9F}">
      <formula1>"반도체, 디스플레이, 이차전지, 바이오, 로봇, 방산"</formula1>
    </dataValidation>
    <dataValidation type="list" allowBlank="1" showInputMessage="1" showErrorMessage="1" errorTitle="오류 안내" error="다음 중 하나를 선택하여 입력해 주세요." promptTitle="입력 안내" prompt="다음 중 하나를 선택하여 입력해 주세요." sqref="N8:N28" xr:uid="{82D067AD-AB41-46A2-B8F9-DA0EF256DD00}">
      <formula1>"디지털 테크, 에너지테크, 바이오 헬스, 미래 모빌리티, 융합부품소재, 라이프스타일, 해양, 금융, 문화관광"</formula1>
    </dataValidation>
    <dataValidation type="list" allowBlank="1" showInputMessage="1" showErrorMessage="1" errorTitle="오류 안내" error="우측 한국표준산업분류 대분류표를 확인 후 해당하는 업종을 선택하여 입력해 주세요. 1~20 사이 번호만 입력해 주세요." promptTitle="입력 안내" prompt="우측 한국표준산업분류 대분류표를 확인 후 해당하는 업종을 선택하여 입력해 주세요. 1~20 사이 번호만 입력해 주세요." sqref="M8:M28" xr:uid="{2A69164F-94EF-4ED0-921B-8058DBBF4C28}">
      <formula1>"1, 2, 3, 4, 5, 6, 7, 8, 9, 10, 11, 12, 13, 14, 15, 16, 17, 18, 19, 20"</formula1>
    </dataValidation>
    <dataValidation type="list" allowBlank="1" showInputMessage="1" showErrorMessage="1" errorTitle="오류 안내" error="다음 중 하나를 선택하여 입력해 주세요." promptTitle="입력 안내" prompt="다음 중 하나를 선택하여 입력해 주세요._x000a_" sqref="AO8:AO28" xr:uid="{B8832DF4-E878-4B0A-8088-986FD7827397}">
      <formula1>"일반상장, 기술특례 상장, 성장성 추천, 테슬라 요건, 유니콘 특례, 기타"</formula1>
    </dataValidation>
    <dataValidation type="list" allowBlank="1" showInputMessage="1" showErrorMessage="1" errorTitle="오류 안내" error="다음 중 하나를 선택하여 입력해 주세요." promptTitle="입력 안내" prompt="다음 중 하나를 선택하여 입력해 주세요." sqref="R8:S28" xr:uid="{15F129BD-DE4F-4F4D-9FFF-D283DB413438}">
      <formula1>"서울특별시, 부산광역시, 대구광역시, 인천광역시, 광주광역시, 대전광역시, 울산광역시, 세종특별자치시, 경기도, 강원도, 충청북도, 충청남도, 전라북도, 전라남도, 경상북도, 경상남도, 제주도"</formula1>
    </dataValidation>
  </dataValidations>
  <hyperlinks>
    <hyperlink ref="C8" r:id="rId1" xr:uid="{6E2E7557-F613-48A5-8A35-425C3F43CC2B}"/>
    <hyperlink ref="E8" r:id="rId2" xr:uid="{AE4053B4-02BA-4034-B76D-BA5CC36CB4CC}"/>
    <hyperlink ref="C9" r:id="rId3" xr:uid="{2FC953E6-056C-4130-A9C4-DE0941EE4CAE}"/>
    <hyperlink ref="E9" r:id="rId4" xr:uid="{5A751C34-882A-4374-B64E-87E671F546AD}"/>
    <hyperlink ref="C10" r:id="rId5" xr:uid="{0BA3EEA8-FE85-4D56-8B95-449738E064FC}"/>
    <hyperlink ref="E10" r:id="rId6" xr:uid="{0DF08015-7E20-4885-9F83-E4825A51E13D}"/>
    <hyperlink ref="C11" r:id="rId7" xr:uid="{53EA2315-6CB6-434F-980A-CF7BDACAB578}"/>
    <hyperlink ref="E11" r:id="rId8" xr:uid="{EC2E0295-19E9-43A9-BDE5-939DEB506B95}"/>
    <hyperlink ref="C12" r:id="rId9" xr:uid="{29A0FE92-A3D7-4DDE-B4D0-30862423ED8E}"/>
    <hyperlink ref="E12" r:id="rId10" xr:uid="{EC97C2A8-4254-4574-AC5E-FDADD26DEC75}"/>
  </hyperlinks>
  <pageMargins left="0.7" right="0.7" top="0.75" bottom="0.75" header="0.3" footer="0.3"/>
  <pageSetup paperSize="9" scale="16" fitToHeight="0" orientation="landscape" r:id="rId11"/>
  <legacy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6A78B-2E3D-4529-A760-D00F2C94BF5F}">
  <dimension ref="A1:O14"/>
  <sheetViews>
    <sheetView topLeftCell="A6" zoomScale="85" zoomScaleNormal="85" workbookViewId="0">
      <selection activeCell="H24" sqref="H24"/>
    </sheetView>
  </sheetViews>
  <sheetFormatPr defaultRowHeight="16.5"/>
  <sheetData>
    <row r="1" spans="1:15" ht="17.25" thickBot="1"/>
    <row r="2" spans="1:15" ht="17.25" customHeight="1">
      <c r="A2" s="211" t="s">
        <v>137</v>
      </c>
      <c r="B2" s="212"/>
      <c r="C2" s="212"/>
      <c r="D2" s="212"/>
      <c r="E2" s="212"/>
      <c r="F2" s="212"/>
      <c r="G2" s="212"/>
      <c r="H2" s="212"/>
      <c r="I2" s="212"/>
      <c r="J2" s="212"/>
      <c r="K2" s="212"/>
      <c r="L2" s="212"/>
      <c r="M2" s="212"/>
      <c r="N2" s="212"/>
      <c r="O2" s="213"/>
    </row>
    <row r="3" spans="1:15" ht="17.25" customHeight="1" thickBot="1">
      <c r="A3" s="214"/>
      <c r="B3" s="215"/>
      <c r="C3" s="215"/>
      <c r="D3" s="215"/>
      <c r="E3" s="215"/>
      <c r="F3" s="215"/>
      <c r="G3" s="215"/>
      <c r="H3" s="215"/>
      <c r="I3" s="215"/>
      <c r="J3" s="215"/>
      <c r="K3" s="215"/>
      <c r="L3" s="215"/>
      <c r="M3" s="215"/>
      <c r="N3" s="215"/>
      <c r="O3" s="216"/>
    </row>
    <row r="6" spans="1:15">
      <c r="A6" t="s">
        <v>138</v>
      </c>
      <c r="H6" t="s">
        <v>140</v>
      </c>
    </row>
    <row r="14" spans="1:15">
      <c r="H14" t="s">
        <v>141</v>
      </c>
    </row>
  </sheetData>
  <mergeCells count="1">
    <mergeCell ref="A2:O3"/>
  </mergeCells>
  <phoneticPr fontId="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4524A-2506-4418-9300-3A1FFF390435}">
  <dimension ref="B2:L18"/>
  <sheetViews>
    <sheetView workbookViewId="0">
      <selection activeCell="D26" sqref="D26"/>
    </sheetView>
  </sheetViews>
  <sheetFormatPr defaultColWidth="9.125" defaultRowHeight="16.5"/>
  <cols>
    <col min="1" max="1" width="9.125" style="73"/>
    <col min="2" max="2" width="23.5" style="73" bestFit="1" customWidth="1"/>
    <col min="3" max="3" width="20" style="73" bestFit="1" customWidth="1"/>
    <col min="4" max="4" width="17.875" style="73" bestFit="1" customWidth="1"/>
    <col min="5" max="6" width="11.125" style="73" bestFit="1" customWidth="1"/>
    <col min="7" max="8" width="14.625" style="73" bestFit="1" customWidth="1"/>
    <col min="9" max="10" width="9.125" style="73"/>
    <col min="11" max="11" width="13" style="73" bestFit="1" customWidth="1"/>
    <col min="12" max="12" width="14.625" style="75" bestFit="1" customWidth="1"/>
    <col min="13" max="16384" width="9.125" style="73"/>
  </cols>
  <sheetData>
    <row r="2" spans="2:12">
      <c r="C2" s="73" t="s">
        <v>182</v>
      </c>
      <c r="D2" s="73" t="s">
        <v>183</v>
      </c>
      <c r="E2" s="73" t="s">
        <v>186</v>
      </c>
      <c r="F2" s="73" t="s">
        <v>189</v>
      </c>
      <c r="G2" s="73" t="s">
        <v>201</v>
      </c>
      <c r="H2" s="73" t="s">
        <v>204</v>
      </c>
      <c r="I2" s="73" t="s">
        <v>205</v>
      </c>
      <c r="J2" s="73" t="s">
        <v>207</v>
      </c>
      <c r="K2" s="73" t="s">
        <v>208</v>
      </c>
      <c r="L2" s="75" t="s">
        <v>209</v>
      </c>
    </row>
    <row r="3" spans="2:12">
      <c r="B3" s="73" t="s">
        <v>181</v>
      </c>
      <c r="C3" s="73" t="s">
        <v>184</v>
      </c>
      <c r="D3" s="73" t="s">
        <v>185</v>
      </c>
      <c r="E3" s="74">
        <v>46121</v>
      </c>
      <c r="F3" s="74">
        <v>43549</v>
      </c>
      <c r="G3" s="75">
        <v>1500025000</v>
      </c>
      <c r="H3" s="73" t="s">
        <v>203</v>
      </c>
      <c r="J3" s="73" t="s">
        <v>203</v>
      </c>
      <c r="K3" s="75"/>
      <c r="L3" s="75">
        <v>10000000</v>
      </c>
    </row>
    <row r="4" spans="2:12">
      <c r="B4" s="73" t="s">
        <v>187</v>
      </c>
      <c r="C4" s="73" t="s">
        <v>188</v>
      </c>
      <c r="D4" s="73" t="s">
        <v>188</v>
      </c>
      <c r="E4" s="74">
        <v>46121</v>
      </c>
      <c r="G4" s="75">
        <v>500010000</v>
      </c>
      <c r="H4" s="73" t="s">
        <v>203</v>
      </c>
      <c r="I4" s="73" t="s">
        <v>203</v>
      </c>
      <c r="K4" s="75"/>
    </row>
    <row r="5" spans="2:12">
      <c r="B5" s="73" t="s">
        <v>190</v>
      </c>
      <c r="C5" s="73" t="s">
        <v>191</v>
      </c>
      <c r="D5" s="73" t="s">
        <v>191</v>
      </c>
      <c r="E5" s="74">
        <v>46121</v>
      </c>
      <c r="G5" s="75">
        <v>624540000</v>
      </c>
      <c r="K5" s="75"/>
    </row>
    <row r="6" spans="2:12">
      <c r="B6" s="73" t="s">
        <v>192</v>
      </c>
      <c r="C6" s="73" t="s">
        <v>184</v>
      </c>
      <c r="D6" s="73" t="s">
        <v>193</v>
      </c>
      <c r="E6" s="74">
        <v>46121</v>
      </c>
      <c r="F6" s="74">
        <v>45391</v>
      </c>
      <c r="G6" s="75">
        <v>500119344</v>
      </c>
      <c r="H6" s="73" t="s">
        <v>203</v>
      </c>
      <c r="K6" s="75"/>
    </row>
    <row r="7" spans="2:12">
      <c r="B7" s="73" t="s">
        <v>194</v>
      </c>
      <c r="C7" s="73" t="s">
        <v>188</v>
      </c>
      <c r="D7" s="73" t="s">
        <v>188</v>
      </c>
      <c r="G7" s="75">
        <v>1002000000</v>
      </c>
      <c r="H7" s="73" t="s">
        <v>203</v>
      </c>
      <c r="I7" s="73" t="s">
        <v>203</v>
      </c>
      <c r="K7" s="75">
        <v>702000000</v>
      </c>
      <c r="L7" s="75">
        <v>1002000000</v>
      </c>
    </row>
    <row r="8" spans="2:12">
      <c r="B8" s="73" t="s">
        <v>195</v>
      </c>
      <c r="C8" s="73" t="s">
        <v>196</v>
      </c>
      <c r="D8" s="73" t="s">
        <v>196</v>
      </c>
      <c r="G8" s="75">
        <v>2000000000</v>
      </c>
      <c r="K8" s="75"/>
    </row>
    <row r="9" spans="2:12">
      <c r="B9" s="73" t="s">
        <v>197</v>
      </c>
      <c r="C9" s="73" t="s">
        <v>191</v>
      </c>
      <c r="D9" s="73" t="s">
        <v>191</v>
      </c>
      <c r="G9" s="75">
        <v>1000000000</v>
      </c>
      <c r="K9" s="75"/>
      <c r="L9" s="75">
        <v>1500</v>
      </c>
    </row>
    <row r="10" spans="2:12">
      <c r="B10" s="73" t="s">
        <v>198</v>
      </c>
      <c r="C10" s="73" t="s">
        <v>193</v>
      </c>
      <c r="D10" s="73" t="s">
        <v>193</v>
      </c>
      <c r="G10" s="75">
        <v>498033200</v>
      </c>
      <c r="K10" s="75"/>
    </row>
    <row r="11" spans="2:12">
      <c r="B11" s="73" t="s">
        <v>199</v>
      </c>
      <c r="C11" s="73" t="s">
        <v>200</v>
      </c>
      <c r="D11" s="73" t="s">
        <v>200</v>
      </c>
      <c r="G11" s="75">
        <v>749979750</v>
      </c>
      <c r="H11" s="73" t="s">
        <v>203</v>
      </c>
      <c r="I11" s="73" t="s">
        <v>203</v>
      </c>
      <c r="K11" s="75">
        <v>224993925</v>
      </c>
      <c r="L11" s="75">
        <v>749979750</v>
      </c>
    </row>
    <row r="12" spans="2:12">
      <c r="H12" s="75">
        <f>SUMIF(H3:H11,"Y",G3:G11)</f>
        <v>4252134094</v>
      </c>
      <c r="K12" s="75"/>
    </row>
    <row r="18" spans="12:12">
      <c r="L18" s="75">
        <v>6622727544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펀드 조합현황</vt:lpstr>
      <vt:lpstr>피투자기업 현황</vt:lpstr>
      <vt:lpstr>참고자료</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지은 손</dc:creator>
  <cp:lastModifiedBy>정지혜</cp:lastModifiedBy>
  <cp:lastPrinted>2026-05-08T08:20:40Z</cp:lastPrinted>
  <dcterms:created xsi:type="dcterms:W3CDTF">2025-04-24T07:21:22Z</dcterms:created>
  <dcterms:modified xsi:type="dcterms:W3CDTF">2026-05-18T00:42:47Z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DRClass">
    <vt:lpwstr>0</vt:lpwstr>
  </property>
  <property fmtid="{D5CDD505-2E9C-101B-9397-08002B2CF9AE}" pid="3" name="FDRSet">
    <vt:lpwstr>manual</vt:lpwstr>
  </property>
</Properties>
</file>