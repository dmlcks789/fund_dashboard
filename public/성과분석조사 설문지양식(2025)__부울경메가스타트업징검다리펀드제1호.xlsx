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G:\내 드라이브\부산시\2025년 부산시 출자펀드 현황 및 성과분석 설문조사\"/>
    </mc:Choice>
  </mc:AlternateContent>
  <xr:revisionPtr revIDLastSave="0" documentId="13_ncr:1_{6D3E8DB8-3998-439E-88F5-61FC6BC0B164}" xr6:coauthVersionLast="47" xr6:coauthVersionMax="47" xr10:uidLastSave="{00000000-0000-0000-0000-000000000000}"/>
  <bookViews>
    <workbookView xWindow="-120" yWindow="-120" windowWidth="29040" windowHeight="15720" activeTab="1" xr2:uid="{3A3F3811-72D6-4C55-8F28-E69C0D53C166}"/>
  </bookViews>
  <sheets>
    <sheet name="펀드 조합현황" sheetId="10" r:id="rId1"/>
    <sheet name="피투자기업 현황" sheetId="11" r:id="rId2"/>
    <sheet name="참고자료" sheetId="12" r:id="rId3"/>
  </sheets>
  <definedNames>
    <definedName name="_xlnm._FilterDatabase" localSheetId="1" hidden="1">'피투자기업 현황'!#REF!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J9" i="11" l="1"/>
  <c r="BJ10" i="11"/>
  <c r="BJ11" i="11"/>
  <c r="BJ12" i="11"/>
  <c r="BJ13" i="11"/>
  <c r="BJ8" i="11"/>
  <c r="BB13" i="11"/>
  <c r="BB9" i="11"/>
  <c r="BB10" i="11"/>
  <c r="BB11" i="11"/>
  <c r="BB12" i="11"/>
  <c r="BB8" i="11"/>
  <c r="AS10"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jeson</author>
    <author>user</author>
  </authors>
  <commentList>
    <comment ref="M7" authorId="0" shapeId="0" xr:uid="{5B18C7A0-AF50-4786-96F3-61ADB715DD7D}">
      <text>
        <r>
          <rPr>
            <b/>
            <sz val="9"/>
            <color indexed="81"/>
            <rFont val="맑은 고딕"/>
            <family val="3"/>
            <charset val="129"/>
            <scheme val="minor"/>
          </rPr>
          <t xml:space="preserve">한국표준산업분류 대분류(11차)
</t>
        </r>
        <r>
          <rPr>
            <sz val="9"/>
            <color indexed="81"/>
            <rFont val="맑은 고딕"/>
            <family val="3"/>
            <charset val="129"/>
            <scheme val="minor"/>
          </rPr>
          <t>01. 농업, 임업, 어업
02. 광업
03. 제조업
04. 전기, 가스 및 수도사업
05. 건설업
06. 도매 및 소매업
07. 숙박 및 음식점업
08. 운수 및 창고업
09. 정보통신업
10. 금융 및 보험업
11. 부동산 및 임대업
12. 전문, 과학 및 기술 서비스업
13. 사업시설 관리, 사업 지원 및 임대 서비스업
14. 공공행정, 국방 및 사회보장 행정
15. 교육 서비스업
16. 보건 및 사회복지 서비스업
17. 예술, 스포츠 및 여가관련 서비스업
18. 협회 및 단체, 수리 및 기타 개인서비스업
19. 가사 서비스업
20. 국제 및 외국기관</t>
        </r>
      </text>
    </comment>
    <comment ref="N7" authorId="0" shapeId="0" xr:uid="{C6199915-AB7B-4355-9F5C-50311FA3903C}">
      <text>
        <r>
          <rPr>
            <b/>
            <sz val="9"/>
            <color indexed="81"/>
            <rFont val="맑은 고딕"/>
            <family val="3"/>
            <charset val="129"/>
            <scheme val="minor"/>
          </rPr>
          <t>참고자료 시트에서 부산시 9대 전략산업 관련 내용 확인 가능</t>
        </r>
      </text>
    </comment>
    <comment ref="P7" authorId="0" shapeId="0" xr:uid="{22824BAF-181E-4DC5-8060-C2A02C46845B}">
      <text>
        <r>
          <rPr>
            <b/>
            <sz val="9"/>
            <color indexed="81"/>
            <rFont val="돋움"/>
            <family val="3"/>
            <charset val="129"/>
          </rPr>
          <t>참고자료</t>
        </r>
        <r>
          <rPr>
            <b/>
            <sz val="9"/>
            <color indexed="81"/>
            <rFont val="Tahoma"/>
            <family val="2"/>
          </rPr>
          <t xml:space="preserve"> </t>
        </r>
        <r>
          <rPr>
            <b/>
            <sz val="9"/>
            <color indexed="81"/>
            <rFont val="돋움"/>
            <family val="3"/>
            <charset val="129"/>
          </rPr>
          <t>시트에서</t>
        </r>
        <r>
          <rPr>
            <b/>
            <sz val="9"/>
            <color indexed="81"/>
            <rFont val="Tahoma"/>
            <family val="2"/>
          </rPr>
          <t xml:space="preserve"> </t>
        </r>
        <r>
          <rPr>
            <b/>
            <sz val="9"/>
            <color indexed="81"/>
            <rFont val="돋움"/>
            <family val="3"/>
            <charset val="129"/>
          </rPr>
          <t>투자</t>
        </r>
        <r>
          <rPr>
            <b/>
            <sz val="9"/>
            <color indexed="81"/>
            <rFont val="Tahoma"/>
            <family val="2"/>
          </rPr>
          <t xml:space="preserve"> </t>
        </r>
        <r>
          <rPr>
            <b/>
            <sz val="9"/>
            <color indexed="81"/>
            <rFont val="돋움"/>
            <family val="3"/>
            <charset val="129"/>
          </rPr>
          <t>라운드</t>
        </r>
        <r>
          <rPr>
            <b/>
            <sz val="9"/>
            <color indexed="81"/>
            <rFont val="Tahoma"/>
            <family val="2"/>
          </rPr>
          <t xml:space="preserve"> </t>
        </r>
        <r>
          <rPr>
            <b/>
            <sz val="9"/>
            <color indexed="81"/>
            <rFont val="돋움"/>
            <family val="3"/>
            <charset val="129"/>
          </rPr>
          <t>정의</t>
        </r>
        <r>
          <rPr>
            <b/>
            <sz val="9"/>
            <color indexed="81"/>
            <rFont val="Tahoma"/>
            <family val="2"/>
          </rPr>
          <t xml:space="preserve"> </t>
        </r>
        <r>
          <rPr>
            <b/>
            <sz val="9"/>
            <color indexed="81"/>
            <rFont val="돋움"/>
            <family val="3"/>
            <charset val="129"/>
          </rPr>
          <t>확인</t>
        </r>
        <r>
          <rPr>
            <b/>
            <sz val="9"/>
            <color indexed="81"/>
            <rFont val="Tahoma"/>
            <family val="2"/>
          </rPr>
          <t xml:space="preserve"> </t>
        </r>
        <r>
          <rPr>
            <b/>
            <sz val="9"/>
            <color indexed="81"/>
            <rFont val="돋움"/>
            <family val="3"/>
            <charset val="129"/>
          </rPr>
          <t>가능</t>
        </r>
      </text>
    </comment>
    <comment ref="U7" authorId="0" shapeId="0" xr:uid="{F7AD69C3-E8EA-446E-870E-45480AC6234D}">
      <text>
        <r>
          <rPr>
            <b/>
            <sz val="9"/>
            <color indexed="81"/>
            <rFont val="돋움"/>
            <family val="3"/>
            <charset val="129"/>
          </rPr>
          <t>지사는</t>
        </r>
        <r>
          <rPr>
            <b/>
            <sz val="9"/>
            <color indexed="81"/>
            <rFont val="Tahoma"/>
            <family val="2"/>
          </rPr>
          <t xml:space="preserve"> </t>
        </r>
        <r>
          <rPr>
            <b/>
            <sz val="9"/>
            <color indexed="81"/>
            <rFont val="돋움"/>
            <family val="3"/>
            <charset val="129"/>
          </rPr>
          <t>해당</t>
        </r>
        <r>
          <rPr>
            <b/>
            <sz val="9"/>
            <color indexed="81"/>
            <rFont val="Tahoma"/>
            <family val="2"/>
          </rPr>
          <t xml:space="preserve"> </t>
        </r>
        <r>
          <rPr>
            <b/>
            <sz val="9"/>
            <color indexed="81"/>
            <rFont val="돋움"/>
            <family val="3"/>
            <charset val="129"/>
          </rPr>
          <t>지역</t>
        </r>
        <r>
          <rPr>
            <b/>
            <sz val="9"/>
            <color indexed="81"/>
            <rFont val="Tahoma"/>
            <family val="2"/>
          </rPr>
          <t xml:space="preserve"> </t>
        </r>
        <r>
          <rPr>
            <b/>
            <sz val="9"/>
            <color indexed="81"/>
            <rFont val="돋움"/>
            <family val="3"/>
            <charset val="129"/>
          </rPr>
          <t>모두</t>
        </r>
        <r>
          <rPr>
            <b/>
            <sz val="9"/>
            <color indexed="81"/>
            <rFont val="Tahoma"/>
            <family val="2"/>
          </rPr>
          <t xml:space="preserve"> </t>
        </r>
        <r>
          <rPr>
            <b/>
            <sz val="9"/>
            <color indexed="81"/>
            <rFont val="돋움"/>
            <family val="3"/>
            <charset val="129"/>
          </rPr>
          <t>직접</t>
        </r>
        <r>
          <rPr>
            <b/>
            <sz val="9"/>
            <color indexed="81"/>
            <rFont val="Tahoma"/>
            <family val="2"/>
          </rPr>
          <t xml:space="preserve"> </t>
        </r>
        <r>
          <rPr>
            <b/>
            <sz val="9"/>
            <color indexed="81"/>
            <rFont val="돋움"/>
            <family val="3"/>
            <charset val="129"/>
          </rPr>
          <t>입력</t>
        </r>
      </text>
    </comment>
    <comment ref="V7" authorId="0" shapeId="0" xr:uid="{568581BF-D9A1-4D56-A5D6-18193E1039B2}">
      <text>
        <r>
          <rPr>
            <b/>
            <sz val="9"/>
            <color indexed="81"/>
            <rFont val="돋움"/>
            <family val="3"/>
            <charset val="129"/>
          </rPr>
          <t>지사는</t>
        </r>
        <r>
          <rPr>
            <b/>
            <sz val="9"/>
            <color indexed="81"/>
            <rFont val="Tahoma"/>
            <family val="2"/>
          </rPr>
          <t xml:space="preserve"> </t>
        </r>
        <r>
          <rPr>
            <b/>
            <sz val="9"/>
            <color indexed="81"/>
            <rFont val="돋움"/>
            <family val="3"/>
            <charset val="129"/>
          </rPr>
          <t>해당</t>
        </r>
        <r>
          <rPr>
            <b/>
            <sz val="9"/>
            <color indexed="81"/>
            <rFont val="Tahoma"/>
            <family val="2"/>
          </rPr>
          <t xml:space="preserve"> </t>
        </r>
        <r>
          <rPr>
            <b/>
            <sz val="9"/>
            <color indexed="81"/>
            <rFont val="돋움"/>
            <family val="3"/>
            <charset val="129"/>
          </rPr>
          <t>지역</t>
        </r>
        <r>
          <rPr>
            <b/>
            <sz val="9"/>
            <color indexed="81"/>
            <rFont val="Tahoma"/>
            <family val="2"/>
          </rPr>
          <t xml:space="preserve"> </t>
        </r>
        <r>
          <rPr>
            <b/>
            <sz val="9"/>
            <color indexed="81"/>
            <rFont val="돋움"/>
            <family val="3"/>
            <charset val="129"/>
          </rPr>
          <t>모두</t>
        </r>
        <r>
          <rPr>
            <b/>
            <sz val="9"/>
            <color indexed="81"/>
            <rFont val="Tahoma"/>
            <family val="2"/>
          </rPr>
          <t xml:space="preserve"> </t>
        </r>
        <r>
          <rPr>
            <b/>
            <sz val="9"/>
            <color indexed="81"/>
            <rFont val="돋움"/>
            <family val="3"/>
            <charset val="129"/>
          </rPr>
          <t>직접</t>
        </r>
        <r>
          <rPr>
            <b/>
            <sz val="9"/>
            <color indexed="81"/>
            <rFont val="Tahoma"/>
            <family val="2"/>
          </rPr>
          <t xml:space="preserve"> </t>
        </r>
        <r>
          <rPr>
            <b/>
            <sz val="9"/>
            <color indexed="81"/>
            <rFont val="돋움"/>
            <family val="3"/>
            <charset val="129"/>
          </rPr>
          <t>입력</t>
        </r>
      </text>
    </comment>
    <comment ref="AK7" authorId="0" shapeId="0" xr:uid="{A24AAE55-F3EA-4800-B1ED-D4E405C11D96}">
      <text>
        <r>
          <rPr>
            <b/>
            <sz val="9"/>
            <color indexed="81"/>
            <rFont val="돋움"/>
            <family val="3"/>
            <charset val="129"/>
          </rPr>
          <t>참고자료</t>
        </r>
        <r>
          <rPr>
            <b/>
            <sz val="9"/>
            <color indexed="81"/>
            <rFont val="Tahoma"/>
            <family val="2"/>
          </rPr>
          <t xml:space="preserve"> </t>
        </r>
        <r>
          <rPr>
            <b/>
            <sz val="9"/>
            <color indexed="81"/>
            <rFont val="돋움"/>
            <family val="3"/>
            <charset val="129"/>
          </rPr>
          <t>시트에서</t>
        </r>
        <r>
          <rPr>
            <b/>
            <sz val="9"/>
            <color indexed="81"/>
            <rFont val="Tahoma"/>
            <family val="2"/>
          </rPr>
          <t xml:space="preserve"> </t>
        </r>
        <r>
          <rPr>
            <b/>
            <sz val="9"/>
            <color indexed="81"/>
            <rFont val="돋움"/>
            <family val="3"/>
            <charset val="129"/>
          </rPr>
          <t>리드투자</t>
        </r>
        <r>
          <rPr>
            <b/>
            <sz val="9"/>
            <color indexed="81"/>
            <rFont val="Tahoma"/>
            <family val="2"/>
          </rPr>
          <t xml:space="preserve"> </t>
        </r>
        <r>
          <rPr>
            <b/>
            <sz val="9"/>
            <color indexed="81"/>
            <rFont val="돋움"/>
            <family val="3"/>
            <charset val="129"/>
          </rPr>
          <t>정의</t>
        </r>
        <r>
          <rPr>
            <b/>
            <sz val="9"/>
            <color indexed="81"/>
            <rFont val="Tahoma"/>
            <family val="2"/>
          </rPr>
          <t xml:space="preserve"> </t>
        </r>
        <r>
          <rPr>
            <b/>
            <sz val="9"/>
            <color indexed="81"/>
            <rFont val="돋움"/>
            <family val="3"/>
            <charset val="129"/>
          </rPr>
          <t>확인</t>
        </r>
        <r>
          <rPr>
            <b/>
            <sz val="9"/>
            <color indexed="81"/>
            <rFont val="Tahoma"/>
            <family val="2"/>
          </rPr>
          <t xml:space="preserve"> </t>
        </r>
        <r>
          <rPr>
            <b/>
            <sz val="9"/>
            <color indexed="81"/>
            <rFont val="돋움"/>
            <family val="3"/>
            <charset val="129"/>
          </rPr>
          <t>가능</t>
        </r>
      </text>
    </comment>
    <comment ref="AP7" authorId="0" shapeId="0" xr:uid="{A132CBC7-7E70-4F65-89CB-2C60FDFB2B59}">
      <text>
        <r>
          <rPr>
            <b/>
            <sz val="9"/>
            <color indexed="81"/>
            <rFont val="Tahoma"/>
            <family val="2"/>
          </rPr>
          <t xml:space="preserve">DQ34. </t>
        </r>
        <r>
          <rPr>
            <b/>
            <sz val="9"/>
            <color indexed="81"/>
            <rFont val="돋움"/>
            <family val="3"/>
            <charset val="129"/>
          </rPr>
          <t>상장트랙</t>
        </r>
        <r>
          <rPr>
            <b/>
            <sz val="9"/>
            <color indexed="81"/>
            <rFont val="Tahoma"/>
            <family val="2"/>
          </rPr>
          <t xml:space="preserve"> '</t>
        </r>
        <r>
          <rPr>
            <b/>
            <sz val="9"/>
            <color indexed="81"/>
            <rFont val="돋움"/>
            <family val="3"/>
            <charset val="129"/>
          </rPr>
          <t>기타</t>
        </r>
        <r>
          <rPr>
            <b/>
            <sz val="9"/>
            <color indexed="81"/>
            <rFont val="Tahoma"/>
            <family val="2"/>
          </rPr>
          <t xml:space="preserve">' </t>
        </r>
        <r>
          <rPr>
            <b/>
            <sz val="9"/>
            <color indexed="81"/>
            <rFont val="돋움"/>
            <family val="3"/>
            <charset val="129"/>
          </rPr>
          <t>선택</t>
        </r>
        <r>
          <rPr>
            <b/>
            <sz val="9"/>
            <color indexed="81"/>
            <rFont val="Tahoma"/>
            <family val="2"/>
          </rPr>
          <t xml:space="preserve"> </t>
        </r>
        <r>
          <rPr>
            <b/>
            <sz val="9"/>
            <color indexed="81"/>
            <rFont val="돋움"/>
            <family val="3"/>
            <charset val="129"/>
          </rPr>
          <t>시</t>
        </r>
        <r>
          <rPr>
            <b/>
            <sz val="9"/>
            <color indexed="81"/>
            <rFont val="Tahoma"/>
            <family val="2"/>
          </rPr>
          <t xml:space="preserve"> </t>
        </r>
        <r>
          <rPr>
            <b/>
            <sz val="9"/>
            <color indexed="81"/>
            <rFont val="돋움"/>
            <family val="3"/>
            <charset val="129"/>
          </rPr>
          <t>해당</t>
        </r>
        <r>
          <rPr>
            <b/>
            <sz val="9"/>
            <color indexed="81"/>
            <rFont val="Tahoma"/>
            <family val="2"/>
          </rPr>
          <t xml:space="preserve"> </t>
        </r>
        <r>
          <rPr>
            <b/>
            <sz val="9"/>
            <color indexed="81"/>
            <rFont val="돋움"/>
            <family val="3"/>
            <charset val="129"/>
          </rPr>
          <t>내용</t>
        </r>
        <r>
          <rPr>
            <b/>
            <sz val="9"/>
            <color indexed="81"/>
            <rFont val="Tahoma"/>
            <family val="2"/>
          </rPr>
          <t xml:space="preserve"> </t>
        </r>
        <r>
          <rPr>
            <b/>
            <sz val="9"/>
            <color indexed="81"/>
            <rFont val="돋움"/>
            <family val="3"/>
            <charset val="129"/>
          </rPr>
          <t>기재</t>
        </r>
      </text>
    </comment>
    <comment ref="AF12" authorId="1" shapeId="0" xr:uid="{F445A70B-F206-4B8E-B97B-FB33353105FC}">
      <text>
        <r>
          <rPr>
            <b/>
            <sz val="9"/>
            <color indexed="81"/>
            <rFont val="Tahoma"/>
            <family val="2"/>
          </rPr>
          <t>user:</t>
        </r>
        <r>
          <rPr>
            <sz val="9"/>
            <color indexed="81"/>
            <rFont val="Tahoma"/>
            <family val="2"/>
          </rPr>
          <t xml:space="preserve">
</t>
        </r>
        <r>
          <rPr>
            <sz val="9"/>
            <color indexed="81"/>
            <rFont val="돋움"/>
            <family val="3"/>
            <charset val="129"/>
          </rPr>
          <t xml:space="preserve">완전자본잠식
</t>
        </r>
      </text>
    </comment>
    <comment ref="AF13" authorId="1" shapeId="0" xr:uid="{D14EFD58-55E4-4C5F-9AF2-72F1734F57BB}">
      <text>
        <r>
          <rPr>
            <b/>
            <sz val="9"/>
            <color indexed="81"/>
            <rFont val="Tahoma"/>
            <family val="2"/>
          </rPr>
          <t>user:</t>
        </r>
        <r>
          <rPr>
            <sz val="9"/>
            <color indexed="81"/>
            <rFont val="Tahoma"/>
            <family val="2"/>
          </rPr>
          <t xml:space="preserve">
</t>
        </r>
        <r>
          <rPr>
            <sz val="9"/>
            <color indexed="81"/>
            <rFont val="돋움"/>
            <family val="3"/>
            <charset val="129"/>
          </rPr>
          <t>사실상</t>
        </r>
        <r>
          <rPr>
            <sz val="9"/>
            <color indexed="81"/>
            <rFont val="Tahoma"/>
            <family val="2"/>
          </rPr>
          <t xml:space="preserve"> </t>
        </r>
        <r>
          <rPr>
            <sz val="9"/>
            <color indexed="81"/>
            <rFont val="돋움"/>
            <family val="3"/>
            <charset val="129"/>
          </rPr>
          <t xml:space="preserve">영업정지
</t>
        </r>
      </text>
    </comment>
  </commentList>
</comments>
</file>

<file path=xl/sharedStrings.xml><?xml version="1.0" encoding="utf-8"?>
<sst xmlns="http://schemas.openxmlformats.org/spreadsheetml/2006/main" count="361" uniqueCount="267">
  <si>
    <t xml:space="preserve"> </t>
    <phoneticPr fontId="2" type="noConversion"/>
  </si>
  <si>
    <t>구분</t>
    <phoneticPr fontId="2" type="noConversion"/>
  </si>
  <si>
    <t>DQ01. 운용사명</t>
  </si>
  <si>
    <t>□ 수범 기업 #1</t>
    <phoneticPr fontId="2" type="noConversion"/>
  </si>
  <si>
    <t xml:space="preserve">기업명 </t>
    <phoneticPr fontId="2" type="noConversion"/>
  </si>
  <si>
    <t>□ 수범 기업 #2</t>
    <phoneticPr fontId="2" type="noConversion"/>
  </si>
  <si>
    <t>2026년 부산광역시 펀드 조성 및 성과분석</t>
    <phoneticPr fontId="2" type="noConversion"/>
  </si>
  <si>
    <t>ㅇㅇㅇㅇㅇㅇㅇ</t>
    <phoneticPr fontId="2" type="noConversion"/>
  </si>
  <si>
    <t>★ 담당자명</t>
    <phoneticPr fontId="2" type="noConversion"/>
  </si>
  <si>
    <t>★ 담당 연락처</t>
    <phoneticPr fontId="2" type="noConversion"/>
  </si>
  <si>
    <t>A01. 연도별 투자 기업수</t>
    <phoneticPr fontId="2" type="noConversion"/>
  </si>
  <si>
    <t>합계</t>
    <phoneticPr fontId="2" type="noConversion"/>
  </si>
  <si>
    <t>A13. 청산펀드 수익률(멀티플)</t>
    <phoneticPr fontId="2" type="noConversion"/>
  </si>
  <si>
    <t>□ 수범 기업 #3</t>
    <phoneticPr fontId="2" type="noConversion"/>
  </si>
  <si>
    <t>최초투자연도</t>
    <phoneticPr fontId="2" type="noConversion"/>
  </si>
  <si>
    <t>투자직전연도</t>
    <phoneticPr fontId="2" type="noConversion"/>
  </si>
  <si>
    <t>투자후 +1년</t>
    <phoneticPr fontId="2" type="noConversion"/>
  </si>
  <si>
    <t>투자후 +2년</t>
  </si>
  <si>
    <t>투자후 +3년</t>
  </si>
  <si>
    <t>투자후 +4년</t>
  </si>
  <si>
    <t>투자후 +5년</t>
  </si>
  <si>
    <r>
      <t xml:space="preserve">1. 운용사 정보 </t>
    </r>
    <r>
      <rPr>
        <b/>
        <sz val="10"/>
        <color rgb="FF0066FF"/>
        <rFont val="맑은 고딕"/>
        <family val="3"/>
        <charset val="129"/>
        <scheme val="minor"/>
      </rPr>
      <t>(Co-GP의 경우 표 아래칸 추가하여 입력)</t>
    </r>
    <phoneticPr fontId="2" type="noConversion"/>
  </si>
  <si>
    <r>
      <t xml:space="preserve">3.투자 현황 </t>
    </r>
    <r>
      <rPr>
        <b/>
        <sz val="10"/>
        <color rgb="FF0066FF"/>
        <rFont val="맑은 고딕"/>
        <family val="3"/>
        <charset val="129"/>
        <scheme val="minor"/>
      </rPr>
      <t>(누계 아님, 해당연도에 해당하는 수치만 작성)</t>
    </r>
    <phoneticPr fontId="2" type="noConversion"/>
  </si>
  <si>
    <r>
      <t xml:space="preserve">4. IPO 현황 </t>
    </r>
    <r>
      <rPr>
        <b/>
        <sz val="10"/>
        <color rgb="FF0066FF"/>
        <rFont val="맑은 고딕"/>
        <family val="3"/>
        <charset val="129"/>
        <scheme val="minor"/>
      </rPr>
      <t>(누계 아님, 해당연도에 해당하는 수치만 작성)</t>
    </r>
    <phoneticPr fontId="2" type="noConversion"/>
  </si>
  <si>
    <r>
      <t>5. 부산기업 수범 사례</t>
    </r>
    <r>
      <rPr>
        <b/>
        <sz val="10"/>
        <color rgb="FF0066FF"/>
        <rFont val="맑은 고딕"/>
        <family val="3"/>
        <charset val="129"/>
        <scheme val="minor"/>
      </rPr>
      <t xml:space="preserve"> (성과우수 기업 3개사 소개 / 해당기업 중 인터뷰 예정)</t>
    </r>
    <r>
      <rPr>
        <b/>
        <sz val="12"/>
        <color theme="1"/>
        <rFont val="맑은 고딕"/>
        <family val="3"/>
        <charset val="129"/>
        <scheme val="minor"/>
      </rPr>
      <t xml:space="preserve"> </t>
    </r>
    <phoneticPr fontId="2" type="noConversion"/>
  </si>
  <si>
    <r>
      <t>Ⅲ. 기업 현황</t>
    </r>
    <r>
      <rPr>
        <b/>
        <sz val="10"/>
        <color theme="1"/>
        <rFont val="맑은 고딕"/>
        <family val="3"/>
        <charset val="129"/>
        <scheme val="minor"/>
      </rPr>
      <t xml:space="preserve"> </t>
    </r>
    <r>
      <rPr>
        <b/>
        <sz val="10"/>
        <color rgb="FF0066FF"/>
        <rFont val="맑은 고딕"/>
        <family val="3"/>
        <charset val="129"/>
        <scheme val="minor"/>
      </rPr>
      <t>(누계 아님, 해당연도에 해당하는 수치만 작성)</t>
    </r>
    <r>
      <rPr>
        <b/>
        <sz val="12"/>
        <color theme="1"/>
        <rFont val="맑은 고딕"/>
        <family val="3"/>
        <charset val="129"/>
        <scheme val="minor"/>
      </rPr>
      <t xml:space="preserve"> *필요시 연도 추가 칸 삽입</t>
    </r>
    <phoneticPr fontId="2" type="noConversion"/>
  </si>
  <si>
    <t>DQ02. 대표자명</t>
    <phoneticPr fontId="2" type="noConversion"/>
  </si>
  <si>
    <t>DQ03. 본점 소재지</t>
    <phoneticPr fontId="2" type="noConversion"/>
  </si>
  <si>
    <t>DQ04. 지점 소재지</t>
    <phoneticPr fontId="2" type="noConversion"/>
  </si>
  <si>
    <t>DQ05. 운용조합 수(개)</t>
    <phoneticPr fontId="2" type="noConversion"/>
  </si>
  <si>
    <t>DQ06. 운용조합 규모(AUM)(원)</t>
    <phoneticPr fontId="2" type="noConversion"/>
  </si>
  <si>
    <t>DQ08. 총 임직원 수(명)</t>
    <phoneticPr fontId="2" type="noConversion"/>
  </si>
  <si>
    <t>DQ09. 심사역 수(명)</t>
    <phoneticPr fontId="2" type="noConversion"/>
  </si>
  <si>
    <t>DQ10. 부산사무소 상근 임직원 수(해당시)</t>
    <phoneticPr fontId="2" type="noConversion"/>
  </si>
  <si>
    <t>DQ11. 부산사무소 상근 심사역 수(해당시)</t>
    <phoneticPr fontId="2" type="noConversion"/>
  </si>
  <si>
    <t>A02. 해당 연도별 투자금액</t>
    <phoneticPr fontId="2" type="noConversion"/>
  </si>
  <si>
    <r>
      <t xml:space="preserve">A03. 연도별 </t>
    </r>
    <r>
      <rPr>
        <b/>
        <sz val="11"/>
        <rFont val="맑은 고딕"/>
        <family val="3"/>
        <charset val="129"/>
        <scheme val="minor"/>
      </rPr>
      <t>부산기업</t>
    </r>
    <r>
      <rPr>
        <sz val="11"/>
        <rFont val="맑은 고딕"/>
        <family val="3"/>
        <charset val="129"/>
        <scheme val="minor"/>
      </rPr>
      <t xml:space="preserve"> 투자 기업수(본점만)</t>
    </r>
    <phoneticPr fontId="2" type="noConversion"/>
  </si>
  <si>
    <r>
      <t xml:space="preserve">A04. 연도별 </t>
    </r>
    <r>
      <rPr>
        <b/>
        <sz val="11"/>
        <rFont val="맑은 고딕"/>
        <family val="3"/>
        <charset val="129"/>
        <scheme val="minor"/>
      </rPr>
      <t>부산기업</t>
    </r>
    <r>
      <rPr>
        <sz val="11"/>
        <rFont val="맑은 고딕"/>
        <family val="3"/>
        <charset val="129"/>
        <scheme val="minor"/>
      </rPr>
      <t xml:space="preserve"> 투자금액(본점만)</t>
    </r>
    <phoneticPr fontId="2" type="noConversion"/>
  </si>
  <si>
    <t>A05. 투자 후 사업장 유지 부산기업 수</t>
    <phoneticPr fontId="2" type="noConversion"/>
  </si>
  <si>
    <t>A06. 투자 후 폐업한 부산기업 수</t>
    <phoneticPr fontId="2" type="noConversion"/>
  </si>
  <si>
    <t>A07. 투자 후 부산으로 이전한 부산 기업 수(본사기준)</t>
    <phoneticPr fontId="2" type="noConversion"/>
  </si>
  <si>
    <t xml:space="preserve">A08. 투자 후 부산에서 타 지역으로 이전한 부산기업 수(본사기준)  </t>
    <phoneticPr fontId="2" type="noConversion"/>
  </si>
  <si>
    <t>A09. 해당연도별 회수금액</t>
    <phoneticPr fontId="2" type="noConversion"/>
  </si>
  <si>
    <t>A10. 해당연도별 부산기업 회수금액</t>
    <phoneticPr fontId="2" type="noConversion"/>
  </si>
  <si>
    <t>A11. 향후 회수 예상 금액</t>
    <phoneticPr fontId="2" type="noConversion"/>
  </si>
  <si>
    <t>A14. 청산펀드 수익률(IRR)</t>
    <phoneticPr fontId="2" type="noConversion"/>
  </si>
  <si>
    <t>A15. 총 투자기업 중 IPO 기업 수</t>
    <phoneticPr fontId="2" type="noConversion"/>
  </si>
  <si>
    <r>
      <t xml:space="preserve">A16. 총 투자기업 중 </t>
    </r>
    <r>
      <rPr>
        <b/>
        <sz val="11"/>
        <color theme="1"/>
        <rFont val="맑은 고딕"/>
        <family val="3"/>
        <charset val="129"/>
        <scheme val="minor"/>
      </rPr>
      <t>부산기업 IPO</t>
    </r>
    <r>
      <rPr>
        <sz val="11"/>
        <color theme="1"/>
        <rFont val="맑은 고딕"/>
        <family val="3"/>
        <charset val="129"/>
        <scheme val="minor"/>
      </rPr>
      <t xml:space="preserve"> 기업  수</t>
    </r>
    <phoneticPr fontId="2" type="noConversion"/>
  </si>
  <si>
    <t>A17. 본 조합 투자기업 중 타지역 IPO 기업명(서술)</t>
    <phoneticPr fontId="2" type="noConversion"/>
  </si>
  <si>
    <r>
      <rPr>
        <b/>
        <sz val="11"/>
        <color theme="1"/>
        <rFont val="KoPub돋움체 Medium"/>
        <family val="3"/>
        <charset val="129"/>
      </rPr>
      <t xml:space="preserve">○ 귀사의 무궁한 발전과 일익 번창함을 기원합니다.
○ 부산시는 지역 중심의 투자조합 결성을 적극적으로 지원하며 펀드 조성에 적극 힘쓰고 있습니다. 또한 매년 조성한 펀드의 성과분석을 통해 향후 펀드 조성의 기초자료로 활용하고 있습니다. 
연일 과중한 업무로 바쁘시겠지만, 지역 발전을 위하여 잠시 시간을 내어 협조하여 주시면 감사하겠습니다
</t>
    </r>
    <r>
      <rPr>
        <b/>
        <sz val="10"/>
        <color theme="1"/>
        <rFont val="KoPub돋움체 Medium"/>
        <family val="3"/>
        <charset val="129"/>
      </rPr>
      <t xml:space="preserve">
</t>
    </r>
    <r>
      <rPr>
        <b/>
        <sz val="10"/>
        <color rgb="FFFF0066"/>
        <rFont val="KoPub돋움체 Medium"/>
        <family val="3"/>
        <charset val="129"/>
      </rPr>
      <t>★ (문의처)</t>
    </r>
    <r>
      <rPr>
        <b/>
        <sz val="10"/>
        <color theme="1"/>
        <rFont val="KoPub돋움체 Medium"/>
        <family val="3"/>
        <charset val="129"/>
      </rPr>
      <t xml:space="preserve"> 부산기술창업투자원 조민선 차장(051-715-1756, msjo@bsia.or.kr) / 부산기술창업투자원 정대근 과장 (051-715-1757, dgjeong@bsia.or.kr)
</t>
    </r>
    <r>
      <rPr>
        <b/>
        <sz val="10"/>
        <color rgb="FFFF0066"/>
        <rFont val="KoPub돋움체 Medium"/>
        <family val="3"/>
        <charset val="129"/>
      </rPr>
      <t xml:space="preserve">★ (설문지 회신) </t>
    </r>
    <r>
      <rPr>
        <b/>
        <sz val="10"/>
        <color theme="1"/>
        <rFont val="KoPub돋움체 Medium"/>
        <family val="3"/>
        <charset val="129"/>
      </rPr>
      <t>부산기술창업투자원 정대근 과장 (051-715-1757, dgjeong@bsia.or.kr)</t>
    </r>
    <phoneticPr fontId="2" type="noConversion"/>
  </si>
  <si>
    <r>
      <t xml:space="preserve">DQ07. 운용조합 투자잔액(원) </t>
    </r>
    <r>
      <rPr>
        <sz val="9"/>
        <rFont val="맑은 고딕"/>
        <family val="3"/>
        <charset val="129"/>
        <scheme val="minor"/>
      </rPr>
      <t>*청산 제외</t>
    </r>
    <phoneticPr fontId="2" type="noConversion"/>
  </si>
  <si>
    <r>
      <t>Ⅱ. 기본 정보</t>
    </r>
    <r>
      <rPr>
        <b/>
        <sz val="10"/>
        <color theme="1"/>
        <rFont val="맑은 고딕"/>
        <family val="3"/>
        <charset val="129"/>
        <scheme val="minor"/>
      </rPr>
      <t xml:space="preserve"> </t>
    </r>
    <r>
      <rPr>
        <b/>
        <sz val="10"/>
        <color rgb="FF0000FF"/>
        <rFont val="맑은 고딕"/>
        <family val="3"/>
        <charset val="129"/>
        <scheme val="minor"/>
      </rPr>
      <t>※ 투자시점 본사기준 부산 소재지 기업 모두 작성(폐업, 회수도 작성 바랍니다)</t>
    </r>
    <phoneticPr fontId="2" type="noConversion"/>
  </si>
  <si>
    <t>기업명</t>
    <phoneticPr fontId="2" type="noConversion"/>
  </si>
  <si>
    <t>대표자명</t>
    <phoneticPr fontId="2" type="noConversion"/>
  </si>
  <si>
    <t>아이템</t>
    <phoneticPr fontId="2" type="noConversion"/>
  </si>
  <si>
    <t>핵심기술</t>
    <phoneticPr fontId="2" type="noConversion"/>
  </si>
  <si>
    <t>설립일자(0000-00-00)</t>
    <phoneticPr fontId="2" type="noConversion"/>
  </si>
  <si>
    <t>업종</t>
    <phoneticPr fontId="2" type="noConversion"/>
  </si>
  <si>
    <t>부산시 9대 전략산업</t>
    <phoneticPr fontId="2" type="noConversion"/>
  </si>
  <si>
    <t>투자 라운드(투자시점)</t>
    <phoneticPr fontId="2" type="noConversion"/>
  </si>
  <si>
    <t>사업변동현황</t>
    <phoneticPr fontId="2" type="noConversion"/>
  </si>
  <si>
    <t>해당펀드 총 투자금액 (원)</t>
    <phoneticPr fontId="2" type="noConversion"/>
  </si>
  <si>
    <t>감액금액 (원)</t>
    <phoneticPr fontId="2" type="noConversion"/>
  </si>
  <si>
    <t>투자잔액 (원)</t>
    <phoneticPr fontId="2" type="noConversion"/>
  </si>
  <si>
    <t>상장주관사 (해당시)</t>
    <phoneticPr fontId="2" type="noConversion"/>
  </si>
  <si>
    <t>상장트랙</t>
    <phoneticPr fontId="2" type="noConversion"/>
  </si>
  <si>
    <t>매출 = 국내+해외 총 매출 (원)</t>
    <phoneticPr fontId="2" type="noConversion"/>
  </si>
  <si>
    <t>직원수 (명)</t>
    <phoneticPr fontId="2" type="noConversion"/>
  </si>
  <si>
    <t>기업 인수·합병 (건)</t>
    <phoneticPr fontId="2" type="noConversion"/>
  </si>
  <si>
    <t>DQ01.</t>
    <phoneticPr fontId="2" type="noConversion"/>
  </si>
  <si>
    <t>DQ02.</t>
    <phoneticPr fontId="2" type="noConversion"/>
  </si>
  <si>
    <t>DQ03.</t>
    <phoneticPr fontId="2" type="noConversion"/>
  </si>
  <si>
    <t>DQ04.</t>
    <phoneticPr fontId="2" type="noConversion"/>
  </si>
  <si>
    <t>DQ05.</t>
    <phoneticPr fontId="2" type="noConversion"/>
  </si>
  <si>
    <t>DQ06.</t>
    <phoneticPr fontId="2" type="noConversion"/>
  </si>
  <si>
    <t>DQ07.</t>
    <phoneticPr fontId="2" type="noConversion"/>
  </si>
  <si>
    <t>DQ08.</t>
    <phoneticPr fontId="2" type="noConversion"/>
  </si>
  <si>
    <t>DQ09.</t>
    <phoneticPr fontId="2" type="noConversion"/>
  </si>
  <si>
    <t>DQ10.</t>
    <phoneticPr fontId="2" type="noConversion"/>
  </si>
  <si>
    <t>DQ11.</t>
    <phoneticPr fontId="2" type="noConversion"/>
  </si>
  <si>
    <t>DQ12.</t>
    <phoneticPr fontId="2" type="noConversion"/>
  </si>
  <si>
    <t>DQ13.</t>
    <phoneticPr fontId="2" type="noConversion"/>
  </si>
  <si>
    <t>DQ14.</t>
    <phoneticPr fontId="2" type="noConversion"/>
  </si>
  <si>
    <t>DQ15.</t>
    <phoneticPr fontId="2" type="noConversion"/>
  </si>
  <si>
    <t>DQ16.</t>
    <phoneticPr fontId="2" type="noConversion"/>
  </si>
  <si>
    <t>DQ17.</t>
    <phoneticPr fontId="2" type="noConversion"/>
  </si>
  <si>
    <t>DQ18.</t>
    <phoneticPr fontId="2" type="noConversion"/>
  </si>
  <si>
    <t>DQ19_1.</t>
    <phoneticPr fontId="2" type="noConversion"/>
  </si>
  <si>
    <t>DQ19_2.</t>
    <phoneticPr fontId="2" type="noConversion"/>
  </si>
  <si>
    <t>DQ20_1.</t>
    <phoneticPr fontId="2" type="noConversion"/>
  </si>
  <si>
    <t>DQ20_2.</t>
    <phoneticPr fontId="2" type="noConversion"/>
  </si>
  <si>
    <t>DQ21.</t>
    <phoneticPr fontId="2" type="noConversion"/>
  </si>
  <si>
    <t>DQ22.</t>
    <phoneticPr fontId="2" type="noConversion"/>
  </si>
  <si>
    <t>DQ23.</t>
    <phoneticPr fontId="2" type="noConversion"/>
  </si>
  <si>
    <t>DQ24.</t>
    <phoneticPr fontId="2" type="noConversion"/>
  </si>
  <si>
    <t>DQ25.</t>
    <phoneticPr fontId="2" type="noConversion"/>
  </si>
  <si>
    <t>DQ26.</t>
    <phoneticPr fontId="2" type="noConversion"/>
  </si>
  <si>
    <t>DQ27.</t>
    <phoneticPr fontId="2" type="noConversion"/>
  </si>
  <si>
    <t>DQ28.</t>
    <phoneticPr fontId="2" type="noConversion"/>
  </si>
  <si>
    <t>DQ29.</t>
    <phoneticPr fontId="2" type="noConversion"/>
  </si>
  <si>
    <t>DQ30.</t>
    <phoneticPr fontId="2" type="noConversion"/>
  </si>
  <si>
    <t>DQ31.</t>
    <phoneticPr fontId="2" type="noConversion"/>
  </si>
  <si>
    <t>DQ32.</t>
    <phoneticPr fontId="2" type="noConversion"/>
  </si>
  <si>
    <t>DQ33.</t>
    <phoneticPr fontId="2" type="noConversion"/>
  </si>
  <si>
    <t>DQ34.</t>
    <phoneticPr fontId="2" type="noConversion"/>
  </si>
  <si>
    <t>DQ35.</t>
    <phoneticPr fontId="2" type="noConversion"/>
  </si>
  <si>
    <t>DQ37.</t>
    <phoneticPr fontId="2" type="noConversion"/>
  </si>
  <si>
    <t>DQ38.</t>
    <phoneticPr fontId="2" type="noConversion"/>
  </si>
  <si>
    <t>사업자번호
000-00-00000 형식</t>
    <phoneticPr fontId="2" type="noConversion"/>
  </si>
  <si>
    <r>
      <t xml:space="preserve">법인번호
</t>
    </r>
    <r>
      <rPr>
        <sz val="9"/>
        <color theme="1"/>
        <rFont val="맑은 고딕"/>
        <family val="3"/>
        <charset val="129"/>
        <scheme val="minor"/>
      </rPr>
      <t>000000-00000000
형식</t>
    </r>
    <phoneticPr fontId="2" type="noConversion"/>
  </si>
  <si>
    <t>상장일
(목표연도)
(0000-00-00)</t>
    <phoneticPr fontId="2" type="noConversion"/>
  </si>
  <si>
    <t>투자시점
본사 지역</t>
    <phoneticPr fontId="2" type="noConversion"/>
  </si>
  <si>
    <t>현재 본사
지역</t>
    <phoneticPr fontId="2" type="noConversion"/>
  </si>
  <si>
    <t>향후 본사
부산지역
이전 계획
보유 여부</t>
    <phoneticPr fontId="2" type="noConversion"/>
  </si>
  <si>
    <t>향후 지사
부산지역
이전 계획
보유 여부
(해당시)</t>
    <phoneticPr fontId="2" type="noConversion"/>
  </si>
  <si>
    <t>투자시점
해외 법인
보유 여부</t>
    <phoneticPr fontId="2" type="noConversion"/>
  </si>
  <si>
    <t>현재 시점
해외 법인
보유 지역
(서술기재)</t>
    <phoneticPr fontId="2" type="noConversion"/>
  </si>
  <si>
    <t>투자이후
해외 법인
설립 여부</t>
    <phoneticPr fontId="2" type="noConversion"/>
  </si>
  <si>
    <t>투자이후
해외 법인
설립 지역
(서술기재)</t>
    <phoneticPr fontId="2" type="noConversion"/>
  </si>
  <si>
    <t>회수금액
(회수원금) (원)</t>
    <phoneticPr fontId="2" type="noConversion"/>
  </si>
  <si>
    <t>회수금액
(회수수익) (원)</t>
    <phoneticPr fontId="2" type="noConversion"/>
  </si>
  <si>
    <t>잔여자산
평가금액 (원)</t>
    <phoneticPr fontId="2" type="noConversion"/>
  </si>
  <si>
    <t>해당
투자자산의
평가 배수</t>
    <phoneticPr fontId="2" type="noConversion"/>
  </si>
  <si>
    <t>투자시점
Pre M/V(원)</t>
    <phoneticPr fontId="2" type="noConversion"/>
  </si>
  <si>
    <t>2025년 말
기준
기업가치(원)</t>
    <phoneticPr fontId="2" type="noConversion"/>
  </si>
  <si>
    <t>리드투자
여부</t>
    <phoneticPr fontId="2" type="noConversion"/>
  </si>
  <si>
    <t>IPO 진행
단계</t>
    <phoneticPr fontId="2" type="noConversion"/>
  </si>
  <si>
    <t>투자이후
타조합의
투자유치 건
(운용사
타조합 포함)</t>
    <phoneticPr fontId="2" type="noConversion"/>
  </si>
  <si>
    <t>2025년도
타조합의
투자유치 건
(운용사
타조합 포함)</t>
    <phoneticPr fontId="2" type="noConversion"/>
  </si>
  <si>
    <t>투자이후
타조합의
투자유치
금액
(운용사
타조합 포함)</t>
    <phoneticPr fontId="2" type="noConversion"/>
  </si>
  <si>
    <t>2025년도
타조합의
투자유치
금액
(운용사
타조합 포함)</t>
    <phoneticPr fontId="2" type="noConversion"/>
  </si>
  <si>
    <t>NO.</t>
    <phoneticPr fontId="2" type="noConversion"/>
  </si>
  <si>
    <t>대표자
연락처</t>
    <phoneticPr fontId="2" type="noConversion"/>
  </si>
  <si>
    <t>대표자
이메일</t>
    <phoneticPr fontId="2" type="noConversion"/>
  </si>
  <si>
    <t>담당자
연락처</t>
    <phoneticPr fontId="2" type="noConversion"/>
  </si>
  <si>
    <t>담당자
이메일</t>
    <phoneticPr fontId="2" type="noConversion"/>
  </si>
  <si>
    <t>2026년 부산광역시 펀드 조성 및 성과분석 - 참고자료</t>
    <phoneticPr fontId="2" type="noConversion"/>
  </si>
  <si>
    <t>※ 부산시 9대 전략산업</t>
    <phoneticPr fontId="2" type="noConversion"/>
  </si>
  <si>
    <t>첨단전략기술 산업
(국가첨단
전략기술
기준 분류)</t>
    <phoneticPr fontId="2" type="noConversion"/>
  </si>
  <si>
    <t>※ 투자 라운드 정의</t>
    <phoneticPr fontId="2" type="noConversion"/>
  </si>
  <si>
    <t>※ 리드투자 정의</t>
    <phoneticPr fontId="2" type="noConversion"/>
  </si>
  <si>
    <t>2025년</t>
    <phoneticPr fontId="2" type="noConversion"/>
  </si>
  <si>
    <t>DQ34_1.</t>
    <phoneticPr fontId="2" type="noConversion"/>
  </si>
  <si>
    <t>투자시점
지사 지역
(해당시
서술기재)</t>
    <phoneticPr fontId="2" type="noConversion"/>
  </si>
  <si>
    <t>현재 지사
지역
(해당시
서술기재)</t>
    <phoneticPr fontId="2" type="noConversion"/>
  </si>
  <si>
    <t>2026년</t>
    <phoneticPr fontId="2" type="noConversion"/>
  </si>
  <si>
    <t>2027년</t>
    <phoneticPr fontId="2" type="noConversion"/>
  </si>
  <si>
    <r>
      <rPr>
        <sz val="11"/>
        <color theme="1"/>
        <rFont val="맑은 고딕"/>
        <family val="3"/>
        <charset val="129"/>
        <scheme val="minor"/>
      </rPr>
      <t xml:space="preserve">※ 2026년, 2027년은 </t>
    </r>
    <r>
      <rPr>
        <u/>
        <sz val="11"/>
        <color rgb="FFFF0000"/>
        <rFont val="맑은 고딕"/>
        <family val="3"/>
        <charset val="129"/>
        <scheme val="minor"/>
      </rPr>
      <t>'A11. 회수 예상 금액'</t>
    </r>
    <r>
      <rPr>
        <sz val="11"/>
        <color theme="1"/>
        <rFont val="맑은 고딕"/>
        <family val="3"/>
        <charset val="129"/>
        <scheme val="minor"/>
      </rPr>
      <t>만 입력</t>
    </r>
    <phoneticPr fontId="2" type="noConversion"/>
  </si>
  <si>
    <t>상장트랙
기타 내용
(서술기재)</t>
    <phoneticPr fontId="2" type="noConversion"/>
  </si>
  <si>
    <r>
      <t xml:space="preserve">A12. 운용펀드 수익률(멀티플) </t>
    </r>
    <r>
      <rPr>
        <sz val="9"/>
        <color theme="1"/>
        <rFont val="맑은 고딕"/>
        <family val="3"/>
        <charset val="129"/>
        <scheme val="minor"/>
      </rPr>
      <t>* 영업보고서상 해당연도 조합평가 비율 기재</t>
    </r>
    <phoneticPr fontId="2" type="noConversion"/>
  </si>
  <si>
    <r>
      <t xml:space="preserve">2. 조합정보 </t>
    </r>
    <r>
      <rPr>
        <b/>
        <sz val="10"/>
        <color rgb="FF0066FF"/>
        <rFont val="맑은 고딕"/>
        <family val="3"/>
        <charset val="129"/>
        <scheme val="minor"/>
      </rPr>
      <t>(2025.12.31 기준)</t>
    </r>
    <phoneticPr fontId="2" type="noConversion"/>
  </si>
  <si>
    <t>DQ01. 조합명</t>
    <phoneticPr fontId="2" type="noConversion"/>
  </si>
  <si>
    <t>DQ02. 조합형태(벤처투자조합, 신기사 등)</t>
    <phoneticPr fontId="2" type="noConversion"/>
  </si>
  <si>
    <t>DQ03. 펀드결성일</t>
    <phoneticPr fontId="2" type="noConversion"/>
  </si>
  <si>
    <t>DQ04. 청산일 (해당시)</t>
    <phoneticPr fontId="2" type="noConversion"/>
  </si>
  <si>
    <t>DQ05. 존속기간</t>
    <phoneticPr fontId="2" type="noConversion"/>
  </si>
  <si>
    <t>DQ06. 투자기간</t>
    <phoneticPr fontId="2" type="noConversion"/>
  </si>
  <si>
    <t>DQ07. 약정총액</t>
    <phoneticPr fontId="2" type="noConversion"/>
  </si>
  <si>
    <t>DQ08. 납입총액</t>
    <phoneticPr fontId="2" type="noConversion"/>
  </si>
  <si>
    <t>DQ09. 투자자산(원)</t>
    <phoneticPr fontId="2" type="noConversion"/>
  </si>
  <si>
    <t>DQ10. 미투자자산(원)</t>
    <phoneticPr fontId="2" type="noConversion"/>
  </si>
  <si>
    <t>DQ11. 배분총액(원)</t>
    <phoneticPr fontId="2" type="noConversion"/>
  </si>
  <si>
    <t>DQ12. 부산기업 의무투자 금액</t>
    <phoneticPr fontId="2" type="noConversion"/>
  </si>
  <si>
    <t>DQ13. 부산기업 집행 투자금액</t>
    <phoneticPr fontId="2" type="noConversion"/>
  </si>
  <si>
    <t>2026년 부산광역시 펀드 조성 및 성과분석('25.12.31 기준)</t>
    <phoneticPr fontId="2" type="noConversion"/>
  </si>
  <si>
    <t>윤우철</t>
    <phoneticPr fontId="2" type="noConversion"/>
  </si>
  <si>
    <t>부울경 메가 스타트업 징검다리펀드 제1호</t>
    <phoneticPr fontId="2" type="noConversion"/>
  </si>
  <si>
    <t>벤처투자조합</t>
    <phoneticPr fontId="2" type="noConversion"/>
  </si>
  <si>
    <t>2022.12.39</t>
    <phoneticPr fontId="2" type="noConversion"/>
  </si>
  <si>
    <t>8년</t>
    <phoneticPr fontId="2" type="noConversion"/>
  </si>
  <si>
    <t>4년</t>
    <phoneticPr fontId="2" type="noConversion"/>
  </si>
  <si>
    <t>엔브이씨파트너스㈜</t>
    <phoneticPr fontId="2" type="noConversion"/>
  </si>
  <si>
    <t>김경찬</t>
    <phoneticPr fontId="2" type="noConversion"/>
  </si>
  <si>
    <t>부산 해운대구</t>
    <phoneticPr fontId="2" type="noConversion"/>
  </si>
  <si>
    <t>경남 창원시</t>
    <phoneticPr fontId="2" type="noConversion"/>
  </si>
  <si>
    <t>9명</t>
    <phoneticPr fontId="2" type="noConversion"/>
  </si>
  <si>
    <t>60,302 백만원</t>
    <phoneticPr fontId="2" type="noConversion"/>
  </si>
  <si>
    <t>㈜뉴라이즌</t>
    <phoneticPr fontId="2" type="noConversion"/>
  </si>
  <si>
    <t>㈜링스업</t>
    <phoneticPr fontId="2" type="noConversion"/>
  </si>
  <si>
    <t>㈜디이앤씨</t>
    <phoneticPr fontId="2" type="noConversion"/>
  </si>
  <si>
    <t>㈜테렌즈</t>
    <phoneticPr fontId="2" type="noConversion"/>
  </si>
  <si>
    <t>yoon3403@nvcp.kr/010-8326-3704</t>
    <phoneticPr fontId="2" type="noConversion"/>
  </si>
  <si>
    <t>부산 울산 경남 지역에 3,300백만원 이상 투자</t>
    <phoneticPr fontId="2" type="noConversion"/>
  </si>
  <si>
    <t>010-2665-1991</t>
    <phoneticPr fontId="2" type="noConversion"/>
  </si>
  <si>
    <t>gunho.song@linksup.co.kr</t>
    <phoneticPr fontId="2" type="noConversion"/>
  </si>
  <si>
    <t>jaejin.cho@linksup.co.kr</t>
    <phoneticPr fontId="2" type="noConversion"/>
  </si>
  <si>
    <t>010-5560-2746</t>
    <phoneticPr fontId="2" type="noConversion"/>
  </si>
  <si>
    <t>(주 )링스업</t>
    <phoneticPr fontId="2" type="noConversion"/>
  </si>
  <si>
    <t>송건호</t>
    <phoneticPr fontId="2" type="noConversion"/>
  </si>
  <si>
    <t>수산 관련 IT 정보 서비스</t>
    <phoneticPr fontId="2" type="noConversion"/>
  </si>
  <si>
    <t>549-87-02654</t>
    <phoneticPr fontId="2" type="noConversion"/>
  </si>
  <si>
    <t>180111-1471290</t>
    <phoneticPr fontId="2" type="noConversion"/>
  </si>
  <si>
    <t>시리즈 A</t>
  </si>
  <si>
    <t>사업유지</t>
  </si>
  <si>
    <t>부산광역시</t>
  </si>
  <si>
    <t>없음</t>
  </si>
  <si>
    <t>최초 기관투자</t>
  </si>
  <si>
    <t>계획없음</t>
  </si>
  <si>
    <t>619-86-01243</t>
    <phoneticPr fontId="2" type="noConversion"/>
  </si>
  <si>
    <t>160111-0492704</t>
    <phoneticPr fontId="2" type="noConversion"/>
  </si>
  <si>
    <t>에너지 신산업 및 기술상업화 컨설팅</t>
    <phoneticPr fontId="2" type="noConversion"/>
  </si>
  <si>
    <t>394-81-01596</t>
    <phoneticPr fontId="2" type="noConversion"/>
  </si>
  <si>
    <t>180111-1274066</t>
    <phoneticPr fontId="2" type="noConversion"/>
  </si>
  <si>
    <t>KINON 파키슨병 조기 진단 지원 S/W CONZAR 갑상선암 조기 진단 지원 S/W</t>
    <phoneticPr fontId="2" type="noConversion"/>
  </si>
  <si>
    <t>010-9100-9831</t>
    <phoneticPr fontId="2" type="noConversion"/>
  </si>
  <si>
    <t>cywon@terenz.kr</t>
    <phoneticPr fontId="2" type="noConversion"/>
  </si>
  <si>
    <t>조용원</t>
    <phoneticPr fontId="2" type="noConversion"/>
  </si>
  <si>
    <t>에너지테크</t>
  </si>
  <si>
    <t>폐업</t>
  </si>
  <si>
    <t>미제출</t>
    <phoneticPr fontId="2" type="noConversion"/>
  </si>
  <si>
    <t>010-8753-4746</t>
    <phoneticPr fontId="2" type="noConversion"/>
  </si>
  <si>
    <t>jhhong@d-enc.com</t>
    <phoneticPr fontId="2" type="noConversion"/>
  </si>
  <si>
    <t>홍주한</t>
    <phoneticPr fontId="2" type="noConversion"/>
  </si>
  <si>
    <t>시드(Seed)</t>
  </si>
  <si>
    <t>- 수산업에 IT 데이터 기술을 접목한 블루푸드테크 성공모델(글로벌 수산물 무역 유통 데이터 플랫폼 씨칭(SEACHING 운영)
- 2023년 중소기업 빅데이터 분석•활용 지원사업 데이터 활용 우수 기업 선발대회에서 우수상 수상 등 다수의 국책 연구과제 사업에 선정됨
- 2025년 기술보증기금과 시너스 1호 개투조합으로부터 총 11억원의 추가 투자 유치</t>
    <phoneticPr fontId="2" type="noConversion"/>
  </si>
  <si>
    <t>6명</t>
    <phoneticPr fontId="2" type="noConversion"/>
  </si>
  <si>
    <t>4명</t>
    <phoneticPr fontId="2" type="noConversion"/>
  </si>
  <si>
    <t>2명</t>
    <phoneticPr fontId="2" type="noConversion"/>
  </si>
  <si>
    <t>㈜시리즈벤처스</t>
  </si>
  <si>
    <t>박준상, 곽성욱</t>
  </si>
  <si>
    <t>경상남도 창원시 의창구 중동북로23, 5층 510호(중동)</t>
  </si>
  <si>
    <t>부산 남구 남동천로 128, BIFC2 718호-720호</t>
  </si>
  <si>
    <t>22개</t>
  </si>
  <si>
    <t>010-2624-8229</t>
  </si>
  <si>
    <t>tkim@moplat.io</t>
  </si>
  <si>
    <t>051-917-1177</t>
  </si>
  <si>
    <t>ehlee@moplat.io</t>
  </si>
  <si>
    <t>㈜모플랫</t>
  </si>
  <si>
    <t>김태웅</t>
  </si>
  <si>
    <t>SMARTFACE</t>
  </si>
  <si>
    <t>차량 외장 영역의 커스터마이징 및 통합제어 기능을 가진 전장 부품</t>
  </si>
  <si>
    <t>550-87-02028</t>
  </si>
  <si>
    <t>135511-0384516</t>
  </si>
  <si>
    <t>융합부품소재</t>
  </si>
  <si>
    <t>디스플레이</t>
  </si>
  <si>
    <t>-</t>
  </si>
  <si>
    <t>서울특별시</t>
  </si>
  <si>
    <t>있음</t>
  </si>
  <si>
    <t>독일</t>
  </si>
  <si>
    <t>주요 투자조건 결정</t>
  </si>
  <si>
    <t>010-9848-2720</t>
  </si>
  <si>
    <t>seunguk.lee@newrizon.kr</t>
  </si>
  <si>
    <t>010-2929-8386</t>
  </si>
  <si>
    <t>eunseo.park@newrizon.kr</t>
  </si>
  <si>
    <t>㈜뉴라이즌</t>
  </si>
  <si>
    <t>이승욱</t>
  </si>
  <si>
    <t xml:space="preserve">정전-나노 융합 필터 소재 및 필터 관련 소비재 </t>
  </si>
  <si>
    <t>산업용 에어 필터 소재 개발</t>
  </si>
  <si>
    <t>888-88-01542</t>
  </si>
  <si>
    <t>180111-1261427</t>
  </si>
  <si>
    <t>바이오</t>
  </si>
  <si>
    <t>시리즈 B</t>
  </si>
  <si>
    <t>준비</t>
  </si>
  <si>
    <t>신영증권, 대신증권</t>
  </si>
  <si>
    <t>010-4444-5219</t>
  </si>
  <si>
    <t>ceo@dentiple.co.kr</t>
  </si>
  <si>
    <t>㈜덴티플</t>
  </si>
  <si>
    <t>윤지형</t>
  </si>
  <si>
    <t xml:space="preserve">T-어버트먼트 </t>
  </si>
  <si>
    <t xml:space="preserve">치과용 임플란트 상부 구조물 </t>
  </si>
  <si>
    <t>375-81-02653</t>
  </si>
  <si>
    <t>180111-1466415</t>
  </si>
  <si>
    <t>바이오 헬스</t>
  </si>
  <si>
    <t>글로벌 수산물 무역 유통 데이터 플랫폼 씨칭(SEACHING)</t>
    <phoneticPr fontId="2" type="noConversion"/>
  </si>
  <si>
    <t>마이크로그리드 모델링 및 설계 기술</t>
    <phoneticPr fontId="2" type="noConversion"/>
  </si>
  <si>
    <t>3D 기반 영상분석 기술</t>
    <phoneticPr fontId="2" type="noConversion"/>
  </si>
  <si>
    <t>-반도체 클린룸 및 AI 데이터센터의 공조 전력 소모를 최대 50% 절감하는 독보적인 정전·나노 융합 하이브리드 필터 소재 '듀라필텍스(Durafiltex®)' 상용화 성공.
-탁월한 클린테크 기술력을 인정받아 전문 평가기관의 투자용 기술신용평가(TCB) 최고 등급인 'Ti-1'을 2년 연속(2025~2026년) 획득하며 코스닥 기술특례상장을 위한 최상위 요건 충족.
-산업통상자원부 '국가첨단전략산업 소부장 투자지원사업' 및 중기부 '초격차 스타트업 1000+'에 연이어 선정되며, 첨단 제조 고객사향 공급망 안정을 위한 울산 공장 대량 양산 인프라 고도화 자금(국비·지방비) 대규모 확보.
-신영증권 및 대신증권과 코스닥 상장 공동주관사 계약을 완료하고, IMM인베스트먼트 등 탑티어 VC로부터 총 220억 원 규모의 누적 투자를 유치하며 기업가치 약 1,500억 원대 목표의 IPO 심사 청구(2026년 하반기 기술성 평가 예정) 본격화.</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</si>
</sst>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0_ "/>
    <numFmt numFmtId="178" formatCode="_-* #,##0_-;\-* #,##0_-;_-* &quot;-&quot;_-;_-@_-"/>
    <numFmt numFmtId="181" formatCode="yyyy\-mm\-dd"/>
  </numFmts>
  <fonts count="46">
    <font>
      <sz val="11"/>
      <color theme="1"/>
      <name val="맑은 고딕"/>
      <family val="2"/>
      <charset val="129"/>
      <scheme val="minor"/>
    </font>
    <font>
      <sz val="11"/>
      <color rgb="FFFF0000"/>
      <name val="맑은 고딕"/>
      <family val="2"/>
      <charset val="129"/>
      <scheme val="minor"/>
    </font>
    <font>
      <sz val="8"/>
      <name val="맑은 고딕"/>
      <family val="2"/>
      <charset val="129"/>
      <scheme val="minor"/>
    </font>
    <font>
      <sz val="11"/>
      <color theme="1"/>
      <name val="맑은 고딕"/>
      <family val="3"/>
      <charset val="129"/>
      <scheme val="minor"/>
    </font>
    <font>
      <b/>
      <sz val="18"/>
      <color theme="1"/>
      <name val="KoPub돋움체 Medium"/>
      <family val="3"/>
      <charset val="129"/>
    </font>
    <font>
      <sz val="11"/>
      <color theme="1"/>
      <name val="KoPub돋움체 Medium"/>
      <family val="3"/>
      <charset val="129"/>
    </font>
    <font>
      <sz val="10"/>
      <color theme="1"/>
      <name val="KoPub돋움체 Medium"/>
      <family val="3"/>
      <charset val="129"/>
    </font>
    <font>
      <b/>
      <sz val="9"/>
      <color indexed="81"/>
      <name val="Tahoma"/>
      <family val="2"/>
    </font>
    <font>
      <b/>
      <sz val="9"/>
      <color indexed="81"/>
      <name val="돋움"/>
      <family val="3"/>
      <charset val="129"/>
    </font>
    <font>
      <sz val="9"/>
      <color theme="1" tint="0.499984740745262"/>
      <name val="KoPub돋움체 Medium"/>
      <family val="3"/>
      <charset val="129"/>
    </font>
    <font>
      <b/>
      <sz val="11"/>
      <color theme="1"/>
      <name val="맑은 고딕"/>
      <family val="3"/>
      <charset val="129"/>
      <scheme val="minor"/>
    </font>
    <font>
      <sz val="11"/>
      <color theme="1"/>
      <name val="맑은 고딕"/>
      <family val="2"/>
      <charset val="129"/>
      <scheme val="minor"/>
    </font>
    <font>
      <sz val="11"/>
      <name val="맑은 고딕"/>
      <family val="3"/>
      <charset val="129"/>
      <scheme val="minor"/>
    </font>
    <font>
      <sz val="10"/>
      <color theme="1"/>
      <name val="맑은 고딕"/>
      <family val="3"/>
      <charset val="129"/>
      <scheme val="minor"/>
    </font>
    <font>
      <i/>
      <sz val="10"/>
      <color rgb="FFFF0000"/>
      <name val="맑은 고딕"/>
      <family val="3"/>
      <charset val="129"/>
      <scheme val="minor"/>
    </font>
    <font>
      <sz val="10"/>
      <name val="맑은 고딕"/>
      <family val="3"/>
      <charset val="129"/>
      <scheme val="minor"/>
    </font>
    <font>
      <sz val="10"/>
      <color rgb="FFFF0000"/>
      <name val="맑은 고딕"/>
      <family val="3"/>
      <charset val="129"/>
      <scheme val="minor"/>
    </font>
    <font>
      <sz val="9"/>
      <color rgb="FFFF0000"/>
      <name val="KoPub돋움체 Medium"/>
      <family val="3"/>
      <charset val="129"/>
    </font>
    <font>
      <sz val="11"/>
      <color rgb="FFFF0000"/>
      <name val="맑은 고딕"/>
      <family val="3"/>
      <charset val="129"/>
      <scheme val="minor"/>
    </font>
    <font>
      <b/>
      <sz val="11"/>
      <color theme="1"/>
      <name val="맑은 고딕"/>
      <family val="2"/>
      <charset val="129"/>
      <scheme val="minor"/>
    </font>
    <font>
      <b/>
      <sz val="11"/>
      <color theme="1"/>
      <name val="KoPub돋움체 Medium"/>
      <family val="3"/>
      <charset val="129"/>
    </font>
    <font>
      <b/>
      <sz val="10"/>
      <color theme="1"/>
      <name val="KoPub돋움체 Medium"/>
      <family val="3"/>
      <charset val="129"/>
    </font>
    <font>
      <sz val="10"/>
      <color theme="1"/>
      <name val="맑은 고딕"/>
      <family val="2"/>
      <charset val="129"/>
      <scheme val="minor"/>
    </font>
    <font>
      <b/>
      <sz val="10"/>
      <color rgb="FFFF0066"/>
      <name val="KoPub돋움체 Medium"/>
      <family val="3"/>
      <charset val="129"/>
    </font>
    <font>
      <b/>
      <sz val="10"/>
      <color rgb="FFFF3300"/>
      <name val="KoPub돋움체 Medium"/>
      <family val="3"/>
      <charset val="129"/>
    </font>
    <font>
      <b/>
      <sz val="12"/>
      <color theme="1"/>
      <name val="맑은 고딕"/>
      <family val="3"/>
      <charset val="129"/>
      <scheme val="minor"/>
    </font>
    <font>
      <b/>
      <sz val="10"/>
      <color theme="1"/>
      <name val="맑은 고딕"/>
      <family val="3"/>
      <charset val="129"/>
      <scheme val="minor"/>
    </font>
    <font>
      <b/>
      <sz val="10"/>
      <color rgb="FF0066FF"/>
      <name val="맑은 고딕"/>
      <family val="3"/>
      <charset val="129"/>
      <scheme val="minor"/>
    </font>
    <font>
      <b/>
      <sz val="11"/>
      <name val="맑은 고딕"/>
      <family val="3"/>
      <charset val="129"/>
      <scheme val="minor"/>
    </font>
    <font>
      <sz val="11"/>
      <color theme="1" tint="0.499984740745262"/>
      <name val="맑은 고딕"/>
      <family val="3"/>
      <charset val="129"/>
      <scheme val="minor"/>
    </font>
    <font>
      <sz val="9"/>
      <color theme="1"/>
      <name val="맑은 고딕"/>
      <family val="3"/>
      <charset val="129"/>
      <scheme val="minor"/>
    </font>
    <font>
      <sz val="9"/>
      <name val="맑은 고딕"/>
      <family val="3"/>
      <charset val="129"/>
      <scheme val="minor"/>
    </font>
    <font>
      <sz val="9"/>
      <color theme="1" tint="0.499984740745262"/>
      <name val="맑은 고딕"/>
      <family val="3"/>
      <charset val="129"/>
      <scheme val="minor"/>
    </font>
    <font>
      <b/>
      <sz val="12"/>
      <name val="맑은 고딕"/>
      <family val="3"/>
      <charset val="129"/>
      <scheme val="minor"/>
    </font>
    <font>
      <b/>
      <sz val="10"/>
      <color rgb="FF0000FF"/>
      <name val="맑은 고딕"/>
      <family val="3"/>
      <charset val="129"/>
      <scheme val="minor"/>
    </font>
    <font>
      <sz val="9"/>
      <color theme="1" tint="0.499984740745262"/>
      <name val="KoPub돋움체 Medium"/>
      <family val="1"/>
      <charset val="129"/>
    </font>
    <font>
      <sz val="11"/>
      <color theme="1" tint="0.499984740745262"/>
      <name val="맑은 고딕"/>
      <family val="2"/>
      <charset val="129"/>
      <scheme val="minor"/>
    </font>
    <font>
      <b/>
      <sz val="10"/>
      <name val="맑은 고딕"/>
      <family val="3"/>
      <charset val="129"/>
      <scheme val="minor"/>
    </font>
    <font>
      <b/>
      <sz val="9"/>
      <color indexed="81"/>
      <name val="맑은 고딕"/>
      <family val="3"/>
      <charset val="129"/>
      <scheme val="minor"/>
    </font>
    <font>
      <sz val="9"/>
      <color indexed="81"/>
      <name val="맑은 고딕"/>
      <family val="3"/>
      <charset val="129"/>
      <scheme val="minor"/>
    </font>
    <font>
      <u/>
      <sz val="11"/>
      <color rgb="FFFF0000"/>
      <name val="맑은 고딕"/>
      <family val="3"/>
      <charset val="129"/>
      <scheme val="minor"/>
    </font>
    <font>
      <u/>
      <sz val="11"/>
      <color theme="10"/>
      <name val="맑은 고딕"/>
      <family val="2"/>
      <charset val="129"/>
      <scheme val="minor"/>
    </font>
    <font>
      <sz val="9"/>
      <color indexed="81"/>
      <name val="Tahoma"/>
      <family val="2"/>
    </font>
    <font>
      <sz val="9"/>
      <color indexed="81"/>
      <name val="돋움"/>
      <family val="3"/>
      <charset val="129"/>
    </font>
    <font>
      <sz val="11"/>
      <name val="맑은 고딕"/>
      <family val="2"/>
      <charset val="129"/>
      <scheme val="minor"/>
    </font>
    <font>
      <sz val="11"/>
      <name val="KoPub돋움체 Medium"/>
      <family val="1"/>
      <charset val="129"/>
    </font>
  </fonts>
  <fills count="1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rgb="FFCCFFCC"/>
        <bgColor indexed="64"/>
      </patternFill>
    </fill>
    <fill>
      <patternFill patternType="solid">
        <fgColor theme="0"/>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4" tint="0.79998168889431442"/>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style="medium">
        <color theme="3"/>
      </bottom>
      <diagonal/>
    </border>
    <border>
      <left/>
      <right/>
      <top/>
      <bottom style="medium">
        <color theme="3"/>
      </bottom>
      <diagonal/>
    </border>
    <border>
      <left/>
      <right style="medium">
        <color theme="3"/>
      </right>
      <top/>
      <bottom style="medium">
        <color theme="3"/>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rgb="FFFFC000"/>
      </left>
      <right style="medium">
        <color rgb="FFFFC000"/>
      </right>
      <top style="medium">
        <color rgb="FFFFC000"/>
      </top>
      <bottom style="medium">
        <color rgb="FFFFC000"/>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rgb="FFC00000"/>
      </left>
      <right style="thin">
        <color indexed="64"/>
      </right>
      <top style="medium">
        <color rgb="FFC00000"/>
      </top>
      <bottom style="medium">
        <color rgb="FFC00000"/>
      </bottom>
      <diagonal/>
    </border>
    <border>
      <left style="thin">
        <color indexed="64"/>
      </left>
      <right style="medium">
        <color rgb="FFC00000"/>
      </right>
      <top style="medium">
        <color rgb="FFC00000"/>
      </top>
      <bottom style="medium">
        <color rgb="FFC00000"/>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9">
    <xf numFmtId="0" fontId="0" fillId="0" borderId="0">
      <alignment vertical="center"/>
    </xf>
    <xf numFmtId="0" fontId="3" fillId="0" borderId="0">
      <alignment vertical="center"/>
    </xf>
    <xf numFmtId="0" fontId="3" fillId="0" borderId="0">
      <alignment vertical="center"/>
    </xf>
    <xf numFmtId="41" fontId="11" fillId="0" borderId="0" applyFont="0" applyFill="0" applyBorder="0" applyAlignment="0" applyProtection="0">
      <alignment vertical="center"/>
    </xf>
    <xf numFmtId="0" fontId="11" fillId="0" borderId="0">
      <alignment vertical="center"/>
    </xf>
    <xf numFmtId="41" fontId="11" fillId="0" borderId="0" applyFont="0" applyFill="0" applyBorder="0" applyAlignment="0" applyProtection="0">
      <alignment vertical="center"/>
    </xf>
    <xf numFmtId="0" fontId="41" fillId="0" borderId="0" applyNumberFormat="0" applyFill="0" applyBorder="0" applyAlignment="0" applyProtection="0">
      <alignment vertical="center"/>
    </xf>
    <xf numFmtId="178" fontId="11" fillId="0" borderId="0" applyFont="0" applyFill="0" applyBorder="0" applyAlignment="0" applyProtection="0">
      <alignment vertical="center"/>
    </xf>
    <xf numFmtId="178" fontId="11" fillId="0" borderId="0" applyFont="0" applyFill="0" applyBorder="0" applyAlignment="0" applyProtection="0">
      <alignment vertical="center"/>
    </xf>
  </cellStyleXfs>
  <cellXfs count="272">
    <xf numFmtId="0" fontId="0" fillId="0" borderId="0" xfId="0">
      <alignment vertical="center"/>
    </xf>
    <xf numFmtId="0" fontId="5" fillId="0" borderId="0" xfId="0" applyFont="1">
      <alignment vertical="center"/>
    </xf>
    <xf numFmtId="0" fontId="6" fillId="0" borderId="0" xfId="0" applyFont="1" applyAlignment="1">
      <alignment vertical="center" wrapText="1"/>
    </xf>
    <xf numFmtId="0" fontId="11" fillId="0" borderId="0" xfId="4">
      <alignment vertical="center"/>
    </xf>
    <xf numFmtId="0" fontId="5" fillId="0" borderId="0" xfId="4" applyFont="1">
      <alignment vertical="center"/>
    </xf>
    <xf numFmtId="0" fontId="13" fillId="0" borderId="0" xfId="0" applyFont="1" applyAlignment="1">
      <alignment horizontal="center" vertical="center"/>
    </xf>
    <xf numFmtId="41" fontId="13" fillId="0" borderId="0" xfId="3" applyFont="1" applyFill="1" applyBorder="1">
      <alignment vertical="center"/>
    </xf>
    <xf numFmtId="0" fontId="14" fillId="0" borderId="0" xfId="0" applyFont="1" applyAlignment="1">
      <alignment horizontal="center" vertical="center"/>
    </xf>
    <xf numFmtId="41" fontId="14" fillId="0" borderId="0" xfId="3" applyFont="1" applyFill="1" applyBorder="1">
      <alignment vertical="center"/>
    </xf>
    <xf numFmtId="0" fontId="13" fillId="0" borderId="0" xfId="0" applyFont="1" applyAlignment="1">
      <alignment horizontal="center"/>
    </xf>
    <xf numFmtId="41" fontId="15" fillId="0" borderId="0" xfId="3" applyFont="1" applyFill="1" applyBorder="1" applyAlignment="1"/>
    <xf numFmtId="14" fontId="15" fillId="0" borderId="0" xfId="0" applyNumberFormat="1" applyFont="1" applyAlignment="1">
      <alignment horizontal="center"/>
    </xf>
    <xf numFmtId="0" fontId="6" fillId="6" borderId="22" xfId="4" applyFont="1" applyFill="1" applyBorder="1" applyAlignment="1" applyProtection="1">
      <alignment horizontal="left" vertical="center" wrapText="1"/>
      <protection locked="0"/>
    </xf>
    <xf numFmtId="0" fontId="6" fillId="6" borderId="23" xfId="4" applyFont="1" applyFill="1" applyBorder="1" applyAlignment="1" applyProtection="1">
      <alignment horizontal="left" vertical="center" wrapText="1"/>
      <protection locked="0"/>
    </xf>
    <xf numFmtId="0" fontId="6" fillId="6" borderId="25" xfId="4" applyFont="1" applyFill="1" applyBorder="1" applyAlignment="1" applyProtection="1">
      <alignment horizontal="left" vertical="center" wrapText="1"/>
      <protection locked="0"/>
    </xf>
    <xf numFmtId="0" fontId="6" fillId="6" borderId="0" xfId="4" applyFont="1" applyFill="1" applyAlignment="1" applyProtection="1">
      <alignment horizontal="left" vertical="center" wrapText="1"/>
      <protection locked="0"/>
    </xf>
    <xf numFmtId="176" fontId="9" fillId="6" borderId="0" xfId="0" applyNumberFormat="1" applyFont="1" applyFill="1" applyAlignment="1">
      <alignment horizontal="center" vertical="center"/>
    </xf>
    <xf numFmtId="176" fontId="17" fillId="6" borderId="0" xfId="0" applyNumberFormat="1" applyFont="1" applyFill="1" applyAlignment="1">
      <alignment horizontal="right" vertical="center"/>
    </xf>
    <xf numFmtId="0" fontId="24" fillId="4" borderId="27" xfId="4" applyFont="1" applyFill="1" applyBorder="1" applyAlignment="1" applyProtection="1">
      <alignment horizontal="left" vertical="center" wrapText="1"/>
      <protection locked="0"/>
    </xf>
    <xf numFmtId="0" fontId="5" fillId="6" borderId="0" xfId="0" applyFont="1" applyFill="1" applyAlignment="1">
      <alignment horizontal="left" vertical="center"/>
    </xf>
    <xf numFmtId="0" fontId="0" fillId="6" borderId="0" xfId="0" applyFill="1" applyAlignment="1">
      <alignment horizontal="left" vertical="center"/>
    </xf>
    <xf numFmtId="0" fontId="19" fillId="0" borderId="0" xfId="0" applyFont="1">
      <alignment vertical="center"/>
    </xf>
    <xf numFmtId="0" fontId="3" fillId="0" borderId="0" xfId="0" applyFont="1">
      <alignment vertical="center"/>
    </xf>
    <xf numFmtId="176" fontId="31" fillId="0" borderId="1" xfId="0" applyNumberFormat="1" applyFont="1" applyBorder="1" applyAlignment="1">
      <alignment horizontal="center" vertical="center"/>
    </xf>
    <xf numFmtId="0" fontId="18" fillId="0" borderId="1" xfId="0" applyFont="1" applyBorder="1" applyAlignment="1">
      <alignment horizontal="left" vertical="center"/>
    </xf>
    <xf numFmtId="0" fontId="12" fillId="3" borderId="10" xfId="4" applyFont="1" applyFill="1" applyBorder="1">
      <alignment vertical="center"/>
    </xf>
    <xf numFmtId="0" fontId="12" fillId="3" borderId="17" xfId="4" applyFont="1" applyFill="1" applyBorder="1">
      <alignment vertical="center"/>
    </xf>
    <xf numFmtId="0" fontId="12" fillId="3" borderId="9" xfId="4" applyFont="1" applyFill="1" applyBorder="1">
      <alignment vertical="center"/>
    </xf>
    <xf numFmtId="0" fontId="25" fillId="0" borderId="0" xfId="0" applyFont="1">
      <alignment vertical="center"/>
    </xf>
    <xf numFmtId="0" fontId="30" fillId="0" borderId="0" xfId="0" applyFont="1" applyAlignment="1">
      <alignment horizontal="center" vertical="center"/>
    </xf>
    <xf numFmtId="176" fontId="32" fillId="0" borderId="1" xfId="0" applyNumberFormat="1" applyFont="1" applyBorder="1" applyAlignment="1">
      <alignment horizontal="center" vertical="center"/>
    </xf>
    <xf numFmtId="0" fontId="13" fillId="7"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13" fillId="0" borderId="0" xfId="0" applyFont="1" applyAlignment="1">
      <alignment horizontal="center" vertical="center" wrapText="1"/>
    </xf>
    <xf numFmtId="0" fontId="26" fillId="0" borderId="0" xfId="0" applyFont="1" applyAlignment="1">
      <alignment horizontal="center" vertical="center"/>
    </xf>
    <xf numFmtId="176" fontId="32" fillId="6" borderId="8" xfId="0" applyNumberFormat="1" applyFont="1" applyFill="1" applyBorder="1" applyAlignment="1">
      <alignment horizontal="center" vertical="center"/>
    </xf>
    <xf numFmtId="176" fontId="32" fillId="6" borderId="33" xfId="0" applyNumberFormat="1" applyFont="1" applyFill="1" applyBorder="1" applyAlignment="1">
      <alignment horizontal="center" vertical="center"/>
    </xf>
    <xf numFmtId="176" fontId="32" fillId="6" borderId="1" xfId="0" applyNumberFormat="1" applyFont="1" applyFill="1" applyBorder="1" applyAlignment="1">
      <alignment horizontal="center" vertical="center"/>
    </xf>
    <xf numFmtId="176" fontId="32" fillId="6" borderId="32" xfId="0" applyNumberFormat="1" applyFont="1" applyFill="1" applyBorder="1" applyAlignment="1">
      <alignment horizontal="center" vertical="center"/>
    </xf>
    <xf numFmtId="0" fontId="10" fillId="10"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0" fillId="7" borderId="8" xfId="0" applyFont="1" applyFill="1" applyBorder="1" applyAlignment="1">
      <alignment horizontal="center" vertical="center" wrapText="1"/>
    </xf>
    <xf numFmtId="0" fontId="1" fillId="0" borderId="0" xfId="0" applyFont="1">
      <alignment vertical="center"/>
    </xf>
    <xf numFmtId="176" fontId="32" fillId="6" borderId="41" xfId="0" applyNumberFormat="1" applyFont="1" applyFill="1" applyBorder="1" applyAlignment="1">
      <alignment horizontal="center" vertical="center"/>
    </xf>
    <xf numFmtId="176" fontId="32" fillId="6" borderId="2" xfId="0" applyNumberFormat="1" applyFont="1" applyFill="1" applyBorder="1" applyAlignment="1">
      <alignment horizontal="center" vertical="center"/>
    </xf>
    <xf numFmtId="176" fontId="32" fillId="6" borderId="42" xfId="0" applyNumberFormat="1" applyFont="1" applyFill="1" applyBorder="1" applyAlignment="1">
      <alignment horizontal="center" vertical="center"/>
    </xf>
    <xf numFmtId="176" fontId="32" fillId="6" borderId="18" xfId="0" applyNumberFormat="1" applyFont="1" applyFill="1" applyBorder="1" applyAlignment="1">
      <alignment horizontal="center" vertical="center"/>
    </xf>
    <xf numFmtId="176" fontId="32" fillId="7" borderId="43" xfId="0" applyNumberFormat="1" applyFont="1" applyFill="1" applyBorder="1" applyAlignment="1">
      <alignment horizontal="center" vertical="center"/>
    </xf>
    <xf numFmtId="176" fontId="32" fillId="7" borderId="44" xfId="0" applyNumberFormat="1" applyFont="1" applyFill="1" applyBorder="1" applyAlignment="1">
      <alignment horizontal="center" vertical="center"/>
    </xf>
    <xf numFmtId="0" fontId="18" fillId="0" borderId="0" xfId="0" applyFont="1">
      <alignment vertical="center"/>
    </xf>
    <xf numFmtId="0" fontId="0" fillId="6" borderId="0" xfId="0" applyFill="1">
      <alignment vertical="center"/>
    </xf>
    <xf numFmtId="14" fontId="12" fillId="0" borderId="1" xfId="0" applyNumberFormat="1" applyFont="1" applyBorder="1">
      <alignment vertical="center"/>
    </xf>
    <xf numFmtId="41" fontId="12" fillId="0" borderId="1" xfId="3" applyFont="1" applyBorder="1" applyAlignment="1">
      <alignment vertical="center" wrapText="1"/>
    </xf>
    <xf numFmtId="41" fontId="12" fillId="0" borderId="1" xfId="3" applyFont="1" applyBorder="1">
      <alignment vertical="center"/>
    </xf>
    <xf numFmtId="41" fontId="36" fillId="0" borderId="1" xfId="3" applyFont="1" applyBorder="1">
      <alignment vertical="center"/>
    </xf>
    <xf numFmtId="41" fontId="3" fillId="0" borderId="1" xfId="3" applyFont="1" applyBorder="1">
      <alignment vertical="center"/>
    </xf>
    <xf numFmtId="41" fontId="29" fillId="0" borderId="1" xfId="3" applyFont="1" applyBorder="1">
      <alignment vertical="center"/>
    </xf>
    <xf numFmtId="41" fontId="31" fillId="0" borderId="1" xfId="3" applyFont="1" applyBorder="1" applyAlignment="1">
      <alignment horizontal="center" vertical="center"/>
    </xf>
    <xf numFmtId="41" fontId="32" fillId="0" borderId="1" xfId="3" applyFont="1" applyBorder="1" applyAlignment="1">
      <alignment horizontal="center" vertical="center"/>
    </xf>
    <xf numFmtId="41" fontId="18" fillId="0" borderId="1" xfId="3" applyFont="1" applyBorder="1" applyAlignment="1">
      <alignment horizontal="left" vertical="center"/>
    </xf>
    <xf numFmtId="0" fontId="12" fillId="0" borderId="1" xfId="0" applyFont="1" applyBorder="1" applyAlignment="1">
      <alignment horizontal="center" vertical="center"/>
    </xf>
    <xf numFmtId="41" fontId="12" fillId="0" borderId="1" xfId="3" applyFont="1" applyBorder="1" applyAlignment="1">
      <alignment horizontal="center" vertical="center"/>
    </xf>
    <xf numFmtId="176" fontId="12" fillId="0" borderId="1" xfId="0" applyNumberFormat="1" applyFont="1" applyBorder="1" applyAlignment="1">
      <alignment horizontal="center" vertical="center"/>
    </xf>
    <xf numFmtId="0" fontId="12" fillId="0" borderId="0" xfId="4" applyFont="1">
      <alignment vertical="center"/>
    </xf>
    <xf numFmtId="176" fontId="12" fillId="0" borderId="0" xfId="4" applyNumberFormat="1" applyFont="1" applyAlignment="1">
      <alignment horizontal="center" vertical="center"/>
    </xf>
    <xf numFmtId="0" fontId="12" fillId="0" borderId="25" xfId="4" applyFont="1" applyBorder="1">
      <alignment vertical="center"/>
    </xf>
    <xf numFmtId="176" fontId="12" fillId="0" borderId="26" xfId="4" applyNumberFormat="1" applyFont="1" applyBorder="1" applyAlignment="1">
      <alignment horizontal="center" vertical="center"/>
    </xf>
    <xf numFmtId="0" fontId="26" fillId="4" borderId="1" xfId="0" applyFont="1" applyFill="1" applyBorder="1" applyAlignment="1">
      <alignment horizontal="center" vertical="center"/>
    </xf>
    <xf numFmtId="0" fontId="26" fillId="7" borderId="1" xfId="0" applyFont="1" applyFill="1" applyBorder="1" applyAlignment="1">
      <alignment horizontal="center" vertical="center"/>
    </xf>
    <xf numFmtId="0" fontId="26" fillId="9" borderId="1" xfId="0" applyFont="1" applyFill="1" applyBorder="1" applyAlignment="1">
      <alignment horizontal="center" vertical="center"/>
    </xf>
    <xf numFmtId="0" fontId="25" fillId="3" borderId="40" xfId="0" applyFont="1" applyFill="1" applyBorder="1" applyAlignment="1">
      <alignment horizontal="left" vertical="center"/>
    </xf>
    <xf numFmtId="0" fontId="25" fillId="3" borderId="0" xfId="0" applyFont="1" applyFill="1" applyAlignment="1">
      <alignment horizontal="left" vertical="center"/>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14" xfId="0" applyFont="1" applyFill="1" applyBorder="1" applyAlignment="1">
      <alignment horizontal="center" vertical="center"/>
    </xf>
    <xf numFmtId="0" fontId="4" fillId="2" borderId="15" xfId="0" applyFont="1" applyFill="1" applyBorder="1" applyAlignment="1">
      <alignment horizontal="center" vertical="center"/>
    </xf>
    <xf numFmtId="0" fontId="4" fillId="2" borderId="16" xfId="0" applyFont="1" applyFill="1" applyBorder="1" applyAlignment="1">
      <alignment horizontal="center" vertical="center"/>
    </xf>
    <xf numFmtId="0" fontId="12" fillId="0" borderId="6" xfId="4" applyFont="1" applyBorder="1" applyAlignment="1">
      <alignment horizontal="left" vertical="center"/>
    </xf>
    <xf numFmtId="0" fontId="12" fillId="0" borderId="1" xfId="4" applyFont="1" applyBorder="1" applyAlignment="1">
      <alignment horizontal="left" vertical="center"/>
    </xf>
    <xf numFmtId="176" fontId="12" fillId="0" borderId="1" xfId="4" applyNumberFormat="1" applyFont="1" applyBorder="1" applyAlignment="1">
      <alignment horizontal="center" vertical="center"/>
    </xf>
    <xf numFmtId="176" fontId="12" fillId="0" borderId="8" xfId="4" applyNumberFormat="1" applyFont="1" applyBorder="1" applyAlignment="1">
      <alignment horizontal="center" vertical="center"/>
    </xf>
    <xf numFmtId="0" fontId="12" fillId="0" borderId="6" xfId="4" applyFont="1" applyBorder="1">
      <alignment vertical="center"/>
    </xf>
    <xf numFmtId="0" fontId="12" fillId="0" borderId="1" xfId="4" applyFont="1" applyBorder="1">
      <alignment vertical="center"/>
    </xf>
    <xf numFmtId="0" fontId="12" fillId="0" borderId="31" xfId="4" applyFont="1" applyBorder="1">
      <alignment vertical="center"/>
    </xf>
    <xf numFmtId="0" fontId="12" fillId="0" borderId="32" xfId="4" applyFont="1" applyBorder="1">
      <alignment vertical="center"/>
    </xf>
    <xf numFmtId="176" fontId="12" fillId="0" borderId="32" xfId="4" applyNumberFormat="1" applyFont="1" applyBorder="1" applyAlignment="1">
      <alignment horizontal="center" vertical="center"/>
    </xf>
    <xf numFmtId="176" fontId="12" fillId="0" borderId="33" xfId="4" applyNumberFormat="1" applyFont="1" applyBorder="1" applyAlignment="1">
      <alignment horizontal="center" vertical="center"/>
    </xf>
    <xf numFmtId="3" fontId="12" fillId="0" borderId="1" xfId="4" applyNumberFormat="1" applyFont="1" applyBorder="1" applyAlignment="1">
      <alignment horizontal="center" vertical="center"/>
    </xf>
    <xf numFmtId="0" fontId="12" fillId="0" borderId="1" xfId="4" applyFont="1" applyBorder="1" applyAlignment="1">
      <alignment horizontal="center" vertical="center"/>
    </xf>
    <xf numFmtId="0" fontId="12" fillId="0" borderId="8" xfId="4" applyFont="1" applyBorder="1" applyAlignment="1">
      <alignment horizontal="center" vertical="center"/>
    </xf>
    <xf numFmtId="0" fontId="33" fillId="2" borderId="19" xfId="4" applyFont="1" applyFill="1" applyBorder="1" applyAlignment="1">
      <alignment horizontal="left" vertical="center"/>
    </xf>
    <xf numFmtId="0" fontId="33" fillId="2" borderId="20" xfId="4" applyFont="1" applyFill="1" applyBorder="1" applyAlignment="1">
      <alignment horizontal="left" vertical="center"/>
    </xf>
    <xf numFmtId="0" fontId="33" fillId="2" borderId="21" xfId="4" applyFont="1" applyFill="1" applyBorder="1" applyAlignment="1">
      <alignment horizontal="left" vertical="center"/>
    </xf>
    <xf numFmtId="0" fontId="3" fillId="3" borderId="6" xfId="0" applyFont="1" applyFill="1" applyBorder="1" applyAlignment="1">
      <alignment horizontal="left" vertical="center"/>
    </xf>
    <xf numFmtId="0" fontId="3" fillId="3" borderId="1" xfId="0" applyFont="1" applyFill="1" applyBorder="1" applyAlignment="1">
      <alignment horizontal="left" vertical="center"/>
    </xf>
    <xf numFmtId="176" fontId="12" fillId="0" borderId="1" xfId="0" applyNumberFormat="1" applyFont="1" applyBorder="1" applyAlignment="1">
      <alignment horizontal="center" vertical="center"/>
    </xf>
    <xf numFmtId="176" fontId="12" fillId="0" borderId="8" xfId="0" applyNumberFormat="1" applyFont="1" applyBorder="1" applyAlignment="1">
      <alignment horizontal="center" vertical="center"/>
    </xf>
    <xf numFmtId="0" fontId="3" fillId="3" borderId="29" xfId="0" applyFont="1" applyFill="1" applyBorder="1" applyAlignment="1">
      <alignment horizontal="left" vertical="center"/>
    </xf>
    <xf numFmtId="0" fontId="3" fillId="3" borderId="30" xfId="0" applyFont="1" applyFill="1" applyBorder="1" applyAlignment="1">
      <alignment horizontal="left" vertical="center"/>
    </xf>
    <xf numFmtId="176" fontId="12" fillId="0" borderId="32" xfId="0" applyNumberFormat="1" applyFont="1" applyBorder="1" applyAlignment="1">
      <alignment horizontal="center" vertical="center"/>
    </xf>
    <xf numFmtId="176" fontId="12" fillId="0" borderId="33" xfId="0" applyNumberFormat="1" applyFont="1" applyBorder="1" applyAlignment="1">
      <alignment horizontal="center" vertical="center"/>
    </xf>
    <xf numFmtId="0" fontId="12" fillId="0" borderId="1" xfId="0" applyFont="1" applyBorder="1" applyAlignment="1">
      <alignment horizontal="center" vertical="center"/>
    </xf>
    <xf numFmtId="0" fontId="12" fillId="0" borderId="8" xfId="0" applyFont="1" applyBorder="1" applyAlignment="1">
      <alignment horizontal="center" vertical="center"/>
    </xf>
    <xf numFmtId="41" fontId="12" fillId="0" borderId="1" xfId="3" applyFont="1" applyBorder="1" applyAlignment="1">
      <alignment horizontal="center" vertical="center"/>
    </xf>
    <xf numFmtId="41" fontId="12" fillId="0" borderId="8" xfId="3" applyFont="1" applyBorder="1" applyAlignment="1">
      <alignment horizontal="center" vertical="center"/>
    </xf>
    <xf numFmtId="0" fontId="25" fillId="2" borderId="19" xfId="0" applyFont="1" applyFill="1" applyBorder="1" applyAlignment="1">
      <alignment horizontal="left" vertical="center"/>
    </xf>
    <xf numFmtId="0" fontId="25" fillId="2" borderId="20" xfId="0" applyFont="1" applyFill="1" applyBorder="1" applyAlignment="1">
      <alignment horizontal="left" vertical="center"/>
    </xf>
    <xf numFmtId="0" fontId="25" fillId="2" borderId="21" xfId="0" applyFont="1" applyFill="1" applyBorder="1" applyAlignment="1">
      <alignment horizontal="left"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16" fillId="0" borderId="19" xfId="0" quotePrefix="1" applyFont="1" applyBorder="1" applyAlignment="1">
      <alignment horizontal="left" vertical="center" wrapText="1"/>
    </xf>
    <xf numFmtId="0" fontId="16" fillId="0" borderId="20" xfId="0" quotePrefix="1" applyFont="1" applyBorder="1" applyAlignment="1">
      <alignment horizontal="left" vertical="center" wrapText="1"/>
    </xf>
    <xf numFmtId="0" fontId="16" fillId="0" borderId="21" xfId="0" quotePrefix="1" applyFont="1" applyBorder="1" applyAlignment="1">
      <alignment horizontal="left" vertical="center" wrapText="1"/>
    </xf>
    <xf numFmtId="0" fontId="16" fillId="0" borderId="25" xfId="0" quotePrefix="1" applyFont="1" applyBorder="1" applyAlignment="1">
      <alignment horizontal="left" vertical="center" wrapText="1"/>
    </xf>
    <xf numFmtId="0" fontId="16" fillId="0" borderId="0" xfId="0" quotePrefix="1" applyFont="1" applyAlignment="1">
      <alignment horizontal="left" vertical="center" wrapText="1"/>
    </xf>
    <xf numFmtId="0" fontId="16" fillId="0" borderId="26" xfId="0" quotePrefix="1" applyFont="1" applyBorder="1" applyAlignment="1">
      <alignment horizontal="left" vertical="center" wrapText="1"/>
    </xf>
    <xf numFmtId="0" fontId="16" fillId="0" borderId="22" xfId="0" quotePrefix="1" applyFont="1" applyBorder="1" applyAlignment="1">
      <alignment horizontal="left" vertical="center" wrapText="1"/>
    </xf>
    <xf numFmtId="0" fontId="16" fillId="0" borderId="23" xfId="0" quotePrefix="1" applyFont="1" applyBorder="1" applyAlignment="1">
      <alignment horizontal="left" vertical="center" wrapText="1"/>
    </xf>
    <xf numFmtId="0" fontId="16" fillId="0" borderId="24" xfId="0" quotePrefix="1" applyFont="1" applyBorder="1" applyAlignment="1">
      <alignment horizontal="left" vertical="center" wrapText="1"/>
    </xf>
    <xf numFmtId="0" fontId="3" fillId="6" borderId="9" xfId="0" applyFont="1" applyFill="1" applyBorder="1" applyAlignment="1">
      <alignment horizontal="left" vertical="center"/>
    </xf>
    <xf numFmtId="0" fontId="3" fillId="6" borderId="10" xfId="0" applyFont="1" applyFill="1" applyBorder="1" applyAlignment="1">
      <alignment horizontal="left" vertical="center"/>
    </xf>
    <xf numFmtId="0" fontId="3" fillId="6" borderId="17" xfId="0" applyFont="1" applyFill="1" applyBorder="1" applyAlignment="1">
      <alignment horizontal="left" vertical="center"/>
    </xf>
    <xf numFmtId="0" fontId="3" fillId="6" borderId="29" xfId="0" applyFont="1" applyFill="1" applyBorder="1" applyAlignment="1">
      <alignment horizontal="left" vertical="center"/>
    </xf>
    <xf numFmtId="0" fontId="3" fillId="6" borderId="30" xfId="0" applyFont="1" applyFill="1" applyBorder="1" applyAlignment="1">
      <alignment horizontal="left" vertical="center"/>
    </xf>
    <xf numFmtId="0" fontId="3" fillId="6" borderId="34" xfId="0" applyFont="1" applyFill="1" applyBorder="1" applyAlignment="1">
      <alignment horizontal="left" vertical="center"/>
    </xf>
    <xf numFmtId="0" fontId="22" fillId="0" borderId="19" xfId="0" quotePrefix="1" applyFont="1" applyBorder="1" applyAlignment="1">
      <alignment horizontal="left" vertical="center" wrapText="1"/>
    </xf>
    <xf numFmtId="0" fontId="22" fillId="0" borderId="20" xfId="0" applyFont="1" applyBorder="1" applyAlignment="1">
      <alignment horizontal="left" vertical="center" wrapText="1"/>
    </xf>
    <xf numFmtId="0" fontId="22" fillId="0" borderId="21" xfId="0" applyFont="1" applyBorder="1" applyAlignment="1">
      <alignment horizontal="left" vertical="center" wrapText="1"/>
    </xf>
    <xf numFmtId="0" fontId="22" fillId="0" borderId="25" xfId="0" applyFont="1" applyBorder="1" applyAlignment="1">
      <alignment horizontal="left" vertical="center" wrapText="1"/>
    </xf>
    <xf numFmtId="0" fontId="22" fillId="0" borderId="0" xfId="0" applyFont="1" applyAlignment="1">
      <alignment horizontal="left" vertical="center" wrapText="1"/>
    </xf>
    <xf numFmtId="0" fontId="22" fillId="0" borderId="26" xfId="0" applyFont="1" applyBorder="1" applyAlignment="1">
      <alignment horizontal="left" vertical="center" wrapText="1"/>
    </xf>
    <xf numFmtId="0" fontId="22" fillId="0" borderId="22" xfId="0" applyFont="1" applyBorder="1" applyAlignment="1">
      <alignment horizontal="left" vertical="center" wrapText="1"/>
    </xf>
    <xf numFmtId="0" fontId="22" fillId="0" borderId="23" xfId="0" applyFont="1" applyBorder="1" applyAlignment="1">
      <alignment horizontal="left" vertical="center" wrapText="1"/>
    </xf>
    <xf numFmtId="0" fontId="22" fillId="0" borderId="24" xfId="0" applyFont="1" applyBorder="1" applyAlignment="1">
      <alignment horizontal="left" vertical="center" wrapText="1"/>
    </xf>
    <xf numFmtId="0" fontId="3" fillId="3" borderId="19" xfId="0" applyFont="1" applyFill="1" applyBorder="1" applyAlignment="1">
      <alignment horizontal="center" vertical="center"/>
    </xf>
    <xf numFmtId="0" fontId="3" fillId="3" borderId="20" xfId="0" applyFont="1" applyFill="1" applyBorder="1" applyAlignment="1">
      <alignment horizontal="center" vertical="center"/>
    </xf>
    <xf numFmtId="0" fontId="3" fillId="3" borderId="21" xfId="0" applyFont="1" applyFill="1" applyBorder="1" applyAlignment="1">
      <alignment horizontal="center" vertical="center"/>
    </xf>
    <xf numFmtId="0" fontId="25" fillId="2" borderId="3" xfId="0" applyFont="1" applyFill="1" applyBorder="1" applyAlignment="1">
      <alignment horizontal="left" vertical="center"/>
    </xf>
    <xf numFmtId="0" fontId="25" fillId="2" borderId="4" xfId="0" applyFont="1" applyFill="1" applyBorder="1" applyAlignment="1">
      <alignment horizontal="left" vertical="center"/>
    </xf>
    <xf numFmtId="0" fontId="25" fillId="2" borderId="5" xfId="0" applyFont="1" applyFill="1" applyBorder="1" applyAlignment="1">
      <alignment horizontal="left" vertical="center"/>
    </xf>
    <xf numFmtId="0" fontId="12" fillId="0" borderId="19" xfId="0" quotePrefix="1" applyFont="1" applyBorder="1" applyAlignment="1">
      <alignment horizontal="left" vertical="center" wrapText="1"/>
    </xf>
    <xf numFmtId="0" fontId="18" fillId="0" borderId="20" xfId="0" quotePrefix="1" applyFont="1" applyBorder="1" applyAlignment="1">
      <alignment horizontal="left" vertical="center" wrapText="1"/>
    </xf>
    <xf numFmtId="0" fontId="18" fillId="0" borderId="21" xfId="0" quotePrefix="1" applyFont="1" applyBorder="1" applyAlignment="1">
      <alignment horizontal="left" vertical="center" wrapText="1"/>
    </xf>
    <xf numFmtId="0" fontId="18" fillId="0" borderId="25" xfId="0" quotePrefix="1" applyFont="1" applyBorder="1" applyAlignment="1">
      <alignment horizontal="left" vertical="center" wrapText="1"/>
    </xf>
    <xf numFmtId="0" fontId="18" fillId="0" borderId="0" xfId="0" quotePrefix="1" applyFont="1" applyAlignment="1">
      <alignment horizontal="left" vertical="center" wrapText="1"/>
    </xf>
    <xf numFmtId="0" fontId="18" fillId="0" borderId="26" xfId="0" quotePrefix="1" applyFont="1" applyBorder="1" applyAlignment="1">
      <alignment horizontal="left" vertical="center" wrapText="1"/>
    </xf>
    <xf numFmtId="0" fontId="18" fillId="0" borderId="22" xfId="0" quotePrefix="1" applyFont="1" applyBorder="1" applyAlignment="1">
      <alignment horizontal="left" vertical="center" wrapText="1"/>
    </xf>
    <xf numFmtId="0" fontId="18" fillId="0" borderId="23" xfId="0" quotePrefix="1" applyFont="1" applyBorder="1" applyAlignment="1">
      <alignment horizontal="left" vertical="center" wrapText="1"/>
    </xf>
    <xf numFmtId="0" fontId="18" fillId="0" borderId="24" xfId="0" quotePrefix="1" applyFont="1" applyBorder="1" applyAlignment="1">
      <alignment horizontal="left" vertical="center" wrapText="1"/>
    </xf>
    <xf numFmtId="0" fontId="3" fillId="3" borderId="31" xfId="0" applyFont="1" applyFill="1" applyBorder="1" applyAlignment="1">
      <alignment horizontal="left" vertical="center"/>
    </xf>
    <xf numFmtId="0" fontId="3" fillId="3" borderId="32" xfId="0" applyFont="1" applyFill="1" applyBorder="1" applyAlignment="1">
      <alignment horizontal="left" vertical="center"/>
    </xf>
    <xf numFmtId="0" fontId="3" fillId="3" borderId="6" xfId="0" applyFont="1" applyFill="1" applyBorder="1" applyAlignment="1">
      <alignment horizontal="left" vertical="center" wrapText="1"/>
    </xf>
    <xf numFmtId="176" fontId="32" fillId="6" borderId="35" xfId="0" applyNumberFormat="1" applyFont="1" applyFill="1" applyBorder="1" applyAlignment="1">
      <alignment horizontal="center" vertical="center"/>
    </xf>
    <xf numFmtId="176" fontId="32" fillId="6" borderId="30" xfId="0" applyNumberFormat="1" applyFont="1" applyFill="1" applyBorder="1" applyAlignment="1">
      <alignment horizontal="center" vertical="center"/>
    </xf>
    <xf numFmtId="176" fontId="32" fillId="6" borderId="36" xfId="0" applyNumberFormat="1" applyFont="1" applyFill="1" applyBorder="1" applyAlignment="1">
      <alignment horizontal="center" vertical="center"/>
    </xf>
    <xf numFmtId="0" fontId="3" fillId="3" borderId="9" xfId="0" applyFont="1" applyFill="1" applyBorder="1" applyAlignment="1">
      <alignment horizontal="left" vertical="center"/>
    </xf>
    <xf numFmtId="0" fontId="3" fillId="3" borderId="10" xfId="0" applyFont="1" applyFill="1" applyBorder="1" applyAlignment="1">
      <alignment horizontal="left" vertical="center"/>
    </xf>
    <xf numFmtId="0" fontId="3" fillId="3" borderId="17" xfId="0" applyFont="1" applyFill="1" applyBorder="1" applyAlignment="1">
      <alignment horizontal="left" vertical="center"/>
    </xf>
    <xf numFmtId="0" fontId="25" fillId="2" borderId="37" xfId="0" applyFont="1" applyFill="1" applyBorder="1" applyAlignment="1">
      <alignment horizontal="left" vertical="center"/>
    </xf>
    <xf numFmtId="0" fontId="25" fillId="2" borderId="38" xfId="0" applyFont="1" applyFill="1" applyBorder="1" applyAlignment="1">
      <alignment horizontal="left" vertical="center"/>
    </xf>
    <xf numFmtId="0" fontId="25" fillId="2" borderId="39" xfId="0" applyFont="1" applyFill="1" applyBorder="1" applyAlignment="1">
      <alignment horizontal="left" vertical="center"/>
    </xf>
    <xf numFmtId="176" fontId="32" fillId="6" borderId="7" xfId="0" applyNumberFormat="1" applyFont="1" applyFill="1" applyBorder="1" applyAlignment="1">
      <alignment horizontal="center" vertical="center"/>
    </xf>
    <xf numFmtId="176" fontId="32" fillId="6" borderId="10" xfId="0" applyNumberFormat="1" applyFont="1" applyFill="1" applyBorder="1" applyAlignment="1">
      <alignment horizontal="center" vertical="center"/>
    </xf>
    <xf numFmtId="176" fontId="32" fillId="6" borderId="28" xfId="0" applyNumberFormat="1" applyFont="1" applyFill="1" applyBorder="1" applyAlignment="1">
      <alignment horizontal="center" vertical="center"/>
    </xf>
    <xf numFmtId="0" fontId="12" fillId="3" borderId="9" xfId="4" applyFont="1" applyFill="1" applyBorder="1" applyAlignment="1">
      <alignment horizontal="left" vertical="center"/>
    </xf>
    <xf numFmtId="0" fontId="12" fillId="3" borderId="10" xfId="4" applyFont="1" applyFill="1" applyBorder="1" applyAlignment="1">
      <alignment horizontal="left" vertical="center"/>
    </xf>
    <xf numFmtId="0" fontId="12" fillId="3" borderId="17" xfId="4" applyFont="1" applyFill="1" applyBorder="1" applyAlignment="1">
      <alignment horizontal="left" vertical="center"/>
    </xf>
    <xf numFmtId="0" fontId="12" fillId="3" borderId="6" xfId="4" applyFont="1" applyFill="1" applyBorder="1" applyAlignment="1">
      <alignment horizontal="left" vertical="center"/>
    </xf>
    <xf numFmtId="0" fontId="12" fillId="3" borderId="1" xfId="4" applyFont="1" applyFill="1" applyBorder="1" applyAlignment="1">
      <alignment horizontal="left" vertical="center"/>
    </xf>
    <xf numFmtId="0" fontId="10" fillId="2" borderId="1" xfId="0" applyFont="1" applyFill="1" applyBorder="1" applyAlignment="1">
      <alignment horizontal="center" vertical="center"/>
    </xf>
    <xf numFmtId="0" fontId="4" fillId="2" borderId="19" xfId="4" applyFont="1" applyFill="1" applyBorder="1" applyAlignment="1">
      <alignment horizontal="center" vertical="center"/>
    </xf>
    <xf numFmtId="0" fontId="4" fillId="2" borderId="20" xfId="4" applyFont="1" applyFill="1" applyBorder="1" applyAlignment="1">
      <alignment horizontal="center" vertical="center"/>
    </xf>
    <xf numFmtId="0" fontId="4" fillId="2" borderId="21" xfId="4" applyFont="1" applyFill="1" applyBorder="1" applyAlignment="1">
      <alignment horizontal="center" vertical="center"/>
    </xf>
    <xf numFmtId="0" fontId="4" fillId="2" borderId="22" xfId="4" applyFont="1" applyFill="1" applyBorder="1" applyAlignment="1">
      <alignment horizontal="center" vertical="center"/>
    </xf>
    <xf numFmtId="0" fontId="4" fillId="2" borderId="23" xfId="4" applyFont="1" applyFill="1" applyBorder="1" applyAlignment="1">
      <alignment horizontal="center" vertical="center"/>
    </xf>
    <xf numFmtId="0" fontId="4" fillId="2" borderId="24" xfId="4" applyFont="1" applyFill="1" applyBorder="1" applyAlignment="1">
      <alignment horizontal="center" vertical="center"/>
    </xf>
    <xf numFmtId="0" fontId="21" fillId="5" borderId="19" xfId="4" applyFont="1" applyFill="1" applyBorder="1" applyAlignment="1" applyProtection="1">
      <alignment horizontal="left" vertical="center" wrapText="1"/>
      <protection locked="0"/>
    </xf>
    <xf numFmtId="0" fontId="21" fillId="5" borderId="20" xfId="4" applyFont="1" applyFill="1" applyBorder="1" applyAlignment="1" applyProtection="1">
      <alignment horizontal="left" vertical="center" wrapText="1"/>
      <protection locked="0"/>
    </xf>
    <xf numFmtId="0" fontId="21" fillId="5" borderId="21" xfId="4" applyFont="1" applyFill="1" applyBorder="1" applyAlignment="1" applyProtection="1">
      <alignment horizontal="left" vertical="center" wrapText="1"/>
      <protection locked="0"/>
    </xf>
    <xf numFmtId="0" fontId="21" fillId="5" borderId="25" xfId="4" applyFont="1" applyFill="1" applyBorder="1" applyAlignment="1" applyProtection="1">
      <alignment horizontal="left" vertical="center" wrapText="1"/>
      <protection locked="0"/>
    </xf>
    <xf numFmtId="0" fontId="21" fillId="5" borderId="0" xfId="4" applyFont="1" applyFill="1" applyAlignment="1" applyProtection="1">
      <alignment horizontal="left" vertical="center" wrapText="1"/>
      <protection locked="0"/>
    </xf>
    <xf numFmtId="0" fontId="21" fillId="5" borderId="26" xfId="4" applyFont="1" applyFill="1" applyBorder="1" applyAlignment="1" applyProtection="1">
      <alignment horizontal="left" vertical="center" wrapText="1"/>
      <protection locked="0"/>
    </xf>
    <xf numFmtId="0" fontId="21" fillId="5" borderId="22" xfId="4" applyFont="1" applyFill="1" applyBorder="1" applyAlignment="1" applyProtection="1">
      <alignment horizontal="left" vertical="center" wrapText="1"/>
      <protection locked="0"/>
    </xf>
    <xf numFmtId="0" fontId="21" fillId="5" borderId="23" xfId="4" applyFont="1" applyFill="1" applyBorder="1" applyAlignment="1" applyProtection="1">
      <alignment horizontal="left" vertical="center" wrapText="1"/>
      <protection locked="0"/>
    </xf>
    <xf numFmtId="0" fontId="21" fillId="5" borderId="24" xfId="4" applyFont="1" applyFill="1" applyBorder="1" applyAlignment="1" applyProtection="1">
      <alignment horizontal="left" vertical="center" wrapText="1"/>
      <protection locked="0"/>
    </xf>
    <xf numFmtId="0" fontId="21" fillId="4" borderId="27" xfId="4" applyFont="1" applyFill="1" applyBorder="1" applyAlignment="1" applyProtection="1">
      <alignment horizontal="center" vertical="center" wrapText="1"/>
      <protection locked="0"/>
    </xf>
    <xf numFmtId="0" fontId="41" fillId="4" borderId="27" xfId="6" applyFill="1" applyBorder="1" applyAlignment="1" applyProtection="1">
      <alignment horizontal="center" vertical="center" wrapText="1"/>
      <protection locked="0"/>
    </xf>
    <xf numFmtId="3" fontId="3" fillId="0" borderId="1" xfId="0" applyNumberFormat="1" applyFont="1" applyBorder="1" applyAlignment="1">
      <alignment horizontal="center" vertical="center"/>
    </xf>
    <xf numFmtId="176" fontId="12" fillId="0" borderId="45" xfId="4" applyNumberFormat="1" applyFont="1" applyBorder="1" applyAlignment="1">
      <alignment horizontal="center" vertical="center"/>
    </xf>
    <xf numFmtId="176" fontId="12" fillId="0" borderId="46" xfId="4" applyNumberFormat="1" applyFont="1" applyBorder="1" applyAlignment="1">
      <alignment horizontal="center" vertical="center"/>
    </xf>
    <xf numFmtId="0" fontId="3" fillId="0" borderId="8" xfId="4" applyFont="1" applyBorder="1" applyAlignment="1">
      <alignment horizontal="center" vertical="center"/>
    </xf>
    <xf numFmtId="0" fontId="3" fillId="0" borderId="1" xfId="4" applyFont="1" applyBorder="1" applyAlignment="1">
      <alignment horizontal="center" vertical="center"/>
    </xf>
    <xf numFmtId="0" fontId="3" fillId="0" borderId="1" xfId="0" applyFont="1" applyBorder="1" applyAlignment="1">
      <alignment horizontal="center" vertical="center"/>
    </xf>
    <xf numFmtId="0" fontId="3" fillId="0" borderId="8" xfId="0" applyFont="1" applyBorder="1" applyAlignment="1">
      <alignment horizontal="center" vertical="center"/>
    </xf>
    <xf numFmtId="3" fontId="3" fillId="0" borderId="1" xfId="4" applyNumberFormat="1" applyFont="1" applyBorder="1" applyAlignment="1">
      <alignment horizontal="center" vertical="center"/>
    </xf>
    <xf numFmtId="41" fontId="44" fillId="0" borderId="1" xfId="3" applyFont="1" applyBorder="1">
      <alignment vertical="center"/>
    </xf>
    <xf numFmtId="0" fontId="0" fillId="0" borderId="0" xfId="0" applyAlignment="1">
      <alignment horizontal="center" vertical="center"/>
    </xf>
    <xf numFmtId="0" fontId="36" fillId="0" borderId="1" xfId="0" applyFont="1" applyBorder="1" applyAlignment="1">
      <alignment horizontal="center" vertical="center"/>
    </xf>
    <xf numFmtId="0" fontId="12" fillId="0" borderId="1" xfId="0" applyFont="1" applyBorder="1" applyAlignment="1">
      <alignment horizontal="center" vertical="center" wrapText="1"/>
    </xf>
    <xf numFmtId="0" fontId="3" fillId="0" borderId="1" xfId="0" applyFont="1" applyBorder="1" applyAlignment="1">
      <alignment horizontal="center" vertical="center"/>
    </xf>
    <xf numFmtId="176" fontId="3" fillId="0" borderId="1" xfId="0" applyNumberFormat="1" applyFont="1" applyBorder="1" applyAlignment="1">
      <alignment horizontal="center" vertical="center"/>
    </xf>
    <xf numFmtId="176" fontId="3" fillId="6" borderId="1" xfId="0" applyNumberFormat="1" applyFont="1" applyFill="1" applyBorder="1" applyAlignment="1">
      <alignment horizontal="center" vertical="center" wrapText="1"/>
    </xf>
    <xf numFmtId="176" fontId="3" fillId="6" borderId="1" xfId="0" applyNumberFormat="1" applyFont="1" applyFill="1" applyBorder="1" applyAlignment="1">
      <alignment horizontal="center" vertical="center"/>
    </xf>
    <xf numFmtId="178" fontId="3" fillId="0" borderId="1" xfId="8" applyFont="1" applyBorder="1" applyAlignment="1">
      <alignment horizontal="center" vertical="center"/>
    </xf>
    <xf numFmtId="0" fontId="3" fillId="0" borderId="1" xfId="0" applyFont="1" applyBorder="1" applyAlignment="1">
      <alignment horizontal="center" vertical="center"/>
    </xf>
    <xf numFmtId="176" fontId="3" fillId="0" borderId="1" xfId="0" applyNumberFormat="1" applyFont="1" applyBorder="1" applyAlignment="1">
      <alignment horizontal="center" vertical="center"/>
    </xf>
    <xf numFmtId="176" fontId="3" fillId="0" borderId="1" xfId="0" applyNumberFormat="1" applyFont="1" applyBorder="1" applyAlignment="1">
      <alignment horizontal="center" vertical="center" wrapText="1"/>
    </xf>
    <xf numFmtId="178" fontId="3" fillId="0" borderId="1" xfId="8" applyFont="1" applyBorder="1" applyAlignment="1">
      <alignment horizontal="center" vertical="center"/>
    </xf>
    <xf numFmtId="0" fontId="0" fillId="0" borderId="0" xfId="0">
      <alignment vertical="center"/>
    </xf>
    <xf numFmtId="0" fontId="5" fillId="0" borderId="0" xfId="0" applyFont="1">
      <alignment vertical="center"/>
    </xf>
    <xf numFmtId="0" fontId="29" fillId="0" borderId="1" xfId="0" applyFont="1" applyBorder="1">
      <alignment vertical="center"/>
    </xf>
    <xf numFmtId="0" fontId="36" fillId="0" borderId="1" xfId="0" applyFont="1" applyBorder="1">
      <alignment vertical="center"/>
    </xf>
    <xf numFmtId="0" fontId="3" fillId="0" borderId="1" xfId="0" applyFont="1" applyBorder="1">
      <alignment vertical="center"/>
    </xf>
    <xf numFmtId="0" fontId="12" fillId="0" borderId="1" xfId="0" applyFont="1" applyBorder="1" applyAlignment="1">
      <alignment vertical="center" wrapText="1"/>
    </xf>
    <xf numFmtId="3" fontId="12" fillId="0" borderId="1" xfId="0" applyNumberFormat="1" applyFont="1" applyBorder="1">
      <alignment vertical="center"/>
    </xf>
    <xf numFmtId="0" fontId="35" fillId="0" borderId="1" xfId="0" applyFont="1" applyBorder="1">
      <alignment vertical="center"/>
    </xf>
    <xf numFmtId="0" fontId="12" fillId="0" borderId="1" xfId="0" applyFont="1" applyBorder="1">
      <alignment vertical="center"/>
    </xf>
    <xf numFmtId="0" fontId="12" fillId="0" borderId="1" xfId="0" quotePrefix="1" applyFont="1" applyBorder="1">
      <alignment vertical="center"/>
    </xf>
    <xf numFmtId="0" fontId="0" fillId="0" borderId="1" xfId="0" applyBorder="1" applyAlignment="1">
      <alignment horizontal="center" vertical="center"/>
    </xf>
    <xf numFmtId="0" fontId="13" fillId="8" borderId="1" xfId="0" applyFont="1" applyFill="1" applyBorder="1" applyAlignment="1">
      <alignment horizontal="center" vertical="center" wrapText="1"/>
    </xf>
    <xf numFmtId="0" fontId="15" fillId="8"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26" fillId="8" borderId="1" xfId="0" applyFont="1" applyFill="1" applyBorder="1" applyAlignment="1">
      <alignment horizontal="center" vertical="center"/>
    </xf>
    <xf numFmtId="0" fontId="37" fillId="8" borderId="1" xfId="0" applyFont="1" applyFill="1" applyBorder="1" applyAlignment="1">
      <alignment horizontal="center" vertical="center"/>
    </xf>
    <xf numFmtId="0" fontId="26" fillId="7" borderId="1" xfId="0" applyFont="1" applyFill="1" applyBorder="1" applyAlignment="1">
      <alignment horizontal="center" vertical="center"/>
    </xf>
    <xf numFmtId="0" fontId="26" fillId="4" borderId="1" xfId="0" applyFont="1" applyFill="1" applyBorder="1" applyAlignment="1">
      <alignment horizontal="center" vertical="center"/>
    </xf>
    <xf numFmtId="0" fontId="26" fillId="9" borderId="1" xfId="0" applyFont="1" applyFill="1" applyBorder="1" applyAlignment="1">
      <alignment horizontal="center" vertical="center"/>
    </xf>
    <xf numFmtId="0" fontId="26" fillId="12" borderId="1" xfId="0" applyFont="1" applyFill="1" applyBorder="1" applyAlignment="1">
      <alignment horizontal="center" vertical="center"/>
    </xf>
    <xf numFmtId="0" fontId="13" fillId="12" borderId="1" xfId="0" applyFont="1" applyFill="1" applyBorder="1" applyAlignment="1">
      <alignment horizontal="center" vertical="center" wrapText="1"/>
    </xf>
    <xf numFmtId="0" fontId="26" fillId="13" borderId="1" xfId="0" applyFont="1" applyFill="1" applyBorder="1" applyAlignment="1">
      <alignment horizontal="center" vertical="center"/>
    </xf>
    <xf numFmtId="0" fontId="13" fillId="13" borderId="1" xfId="0" applyFont="1" applyFill="1" applyBorder="1" applyAlignment="1">
      <alignment horizontal="center" vertical="center" wrapText="1"/>
    </xf>
    <xf numFmtId="0" fontId="26" fillId="9" borderId="7" xfId="0" applyFont="1" applyFill="1" applyBorder="1" applyAlignment="1">
      <alignment horizontal="center" vertical="center"/>
    </xf>
    <xf numFmtId="0" fontId="3" fillId="0" borderId="1" xfId="0" applyFont="1" applyBorder="1" applyAlignment="1">
      <alignment horizontal="center" vertical="center"/>
    </xf>
    <xf numFmtId="3" fontId="3" fillId="0" borderId="1" xfId="0" applyNumberFormat="1" applyFont="1" applyBorder="1" applyAlignment="1">
      <alignment horizontal="center" vertical="center"/>
    </xf>
    <xf numFmtId="176" fontId="3" fillId="0" borderId="1" xfId="0" applyNumberFormat="1" applyFont="1" applyBorder="1" applyAlignment="1">
      <alignment horizontal="center" vertical="center"/>
    </xf>
    <xf numFmtId="0" fontId="3" fillId="0" borderId="1" xfId="0" quotePrefix="1" applyFont="1" applyBorder="1" applyAlignment="1">
      <alignment horizontal="center" vertical="center"/>
    </xf>
    <xf numFmtId="181" fontId="3" fillId="0" borderId="1" xfId="0" applyNumberFormat="1" applyFont="1" applyBorder="1" applyAlignment="1">
      <alignment horizontal="center" vertical="center" wrapText="1"/>
    </xf>
    <xf numFmtId="178" fontId="3" fillId="0" borderId="1" xfId="8" applyFont="1" applyBorder="1" applyAlignment="1">
      <alignment horizontal="center" vertical="center" wrapText="1"/>
    </xf>
    <xf numFmtId="0" fontId="3" fillId="0" borderId="1" xfId="0" applyFont="1" applyBorder="1" applyAlignment="1">
      <alignment horizontal="center" vertical="center" wrapText="1"/>
    </xf>
    <xf numFmtId="178" fontId="3" fillId="0" borderId="1" xfId="8" applyFont="1" applyBorder="1" applyAlignment="1">
      <alignment horizontal="center" vertical="center"/>
    </xf>
    <xf numFmtId="0" fontId="3" fillId="0" borderId="1" xfId="0" quotePrefix="1" applyFont="1" applyBorder="1" applyAlignment="1">
      <alignment horizontal="center" vertical="center" wrapText="1"/>
    </xf>
    <xf numFmtId="0" fontId="41" fillId="0" borderId="1" xfId="6" applyBorder="1" applyAlignment="1">
      <alignment horizontal="center" vertical="center"/>
    </xf>
    <xf numFmtId="0" fontId="4" fillId="2" borderId="12" xfId="0" applyFont="1" applyFill="1" applyBorder="1" applyAlignment="1">
      <alignment horizontal="center" vertical="center"/>
    </xf>
    <xf numFmtId="0" fontId="4" fillId="2" borderId="15" xfId="0" applyFont="1" applyFill="1" applyBorder="1" applyAlignment="1">
      <alignment horizontal="center" vertical="center"/>
    </xf>
    <xf numFmtId="178" fontId="12" fillId="0" borderId="1" xfId="8" applyFont="1" applyBorder="1" applyAlignment="1">
      <alignment horizontal="center" vertical="center"/>
    </xf>
    <xf numFmtId="0" fontId="12" fillId="0" borderId="1" xfId="0" quotePrefix="1" applyFont="1" applyBorder="1" applyAlignment="1">
      <alignment horizontal="center" vertical="center"/>
    </xf>
    <xf numFmtId="0" fontId="5" fillId="0" borderId="0" xfId="0" applyFont="1" applyAlignment="1">
      <alignment horizontal="center" vertical="center"/>
    </xf>
    <xf numFmtId="0" fontId="45" fillId="0" borderId="1" xfId="0" applyFont="1" applyBorder="1" applyAlignment="1">
      <alignment horizontal="center" vertical="center"/>
    </xf>
    <xf numFmtId="0" fontId="31" fillId="0" borderId="1" xfId="0" applyFont="1" applyBorder="1">
      <alignment vertical="center"/>
    </xf>
    <xf numFmtId="0" fontId="35" fillId="0" borderId="1" xfId="0" applyFont="1" applyBorder="1" applyAlignment="1">
      <alignment horizontal="center" vertical="center"/>
    </xf>
    <xf numFmtId="176" fontId="12" fillId="0" borderId="1" xfId="0" applyNumberFormat="1" applyFont="1" applyBorder="1" applyAlignment="1">
      <alignment horizontal="center" vertical="center" wrapText="1"/>
    </xf>
    <xf numFmtId="176" fontId="12" fillId="6" borderId="1" xfId="0" applyNumberFormat="1" applyFont="1" applyFill="1" applyBorder="1" applyAlignment="1">
      <alignment horizontal="center" vertical="center"/>
    </xf>
    <xf numFmtId="176" fontId="12" fillId="6" borderId="7" xfId="0" applyNumberFormat="1" applyFont="1" applyFill="1" applyBorder="1" applyAlignment="1">
      <alignment horizontal="center" vertical="center"/>
    </xf>
    <xf numFmtId="0" fontId="4" fillId="2" borderId="11" xfId="0" applyFont="1" applyFill="1" applyBorder="1" applyAlignment="1">
      <alignment vertical="center"/>
    </xf>
    <xf numFmtId="0" fontId="4" fillId="2" borderId="12" xfId="0" applyFont="1" applyFill="1" applyBorder="1" applyAlignment="1">
      <alignment vertical="center"/>
    </xf>
    <xf numFmtId="0" fontId="4" fillId="2" borderId="13" xfId="0" applyFont="1" applyFill="1" applyBorder="1" applyAlignment="1">
      <alignment vertical="center"/>
    </xf>
    <xf numFmtId="0" fontId="4" fillId="2" borderId="14" xfId="0" applyFont="1" applyFill="1" applyBorder="1" applyAlignment="1">
      <alignment vertical="center"/>
    </xf>
    <xf numFmtId="0" fontId="4" fillId="2" borderId="15" xfId="0" applyFont="1" applyFill="1" applyBorder="1" applyAlignment="1">
      <alignment vertical="center"/>
    </xf>
    <xf numFmtId="0" fontId="4" fillId="2" borderId="16" xfId="0" applyFont="1" applyFill="1" applyBorder="1" applyAlignment="1">
      <alignment vertical="center"/>
    </xf>
    <xf numFmtId="0" fontId="25" fillId="11" borderId="0" xfId="0" applyFont="1" applyFill="1" applyAlignment="1">
      <alignment vertical="center"/>
    </xf>
    <xf numFmtId="0" fontId="26" fillId="3" borderId="2" xfId="0" applyFont="1" applyFill="1" applyBorder="1" applyAlignment="1">
      <alignment vertical="center"/>
    </xf>
    <xf numFmtId="0" fontId="26" fillId="3" borderId="18" xfId="0" applyFont="1" applyFill="1" applyBorder="1" applyAlignment="1">
      <alignment vertical="center"/>
    </xf>
    <xf numFmtId="0" fontId="26" fillId="3" borderId="1" xfId="0" applyFont="1" applyFill="1" applyBorder="1" applyAlignment="1">
      <alignment vertical="center" wrapText="1"/>
    </xf>
    <xf numFmtId="0" fontId="25" fillId="11" borderId="0" xfId="0" applyFont="1" applyFill="1" applyAlignment="1">
      <alignment horizontal="center" vertical="center"/>
    </xf>
  </cellXfs>
  <cellStyles count="9">
    <cellStyle name="쉼표 [0]" xfId="3" builtinId="6"/>
    <cellStyle name="쉼표 [0] 2" xfId="5" xr:uid="{6C2B9319-DEC8-4A78-B835-95A6B5F9E9B9}"/>
    <cellStyle name="쉼표 [0] 2 2" xfId="8" xr:uid="{60FCA4BE-E896-432C-BE2D-5D2EE7EC2BE8}"/>
    <cellStyle name="쉼표 [0] 3" xfId="7" xr:uid="{B8306B4D-6F7A-48E4-9A3B-E133A8B8473A}"/>
    <cellStyle name="표준" xfId="0" builtinId="0"/>
    <cellStyle name="표준 2" xfId="2" xr:uid="{7EA2FD6A-4389-4D07-971F-DFFC2BFBDA5C}"/>
    <cellStyle name="표준 3" xfId="1" xr:uid="{EF9DDCD6-9B7E-41BE-AF85-9E20E2A85E92}"/>
    <cellStyle name="표준 3 2" xfId="4" xr:uid="{F8839CC6-A497-4080-8D3C-E86951ABF931}"/>
    <cellStyle name="하이퍼링크" xfId="6" builtinId="8"/>
  </cellStyles>
  <dxfs count="0"/>
  <tableStyles count="0" defaultTableStyle="TableStyleMedium2" defaultPivotStyle="PivotStyleLight16"/>
  <colors>
    <mruColors>
      <color rgb="FF0000FF"/>
      <color rgb="FF0066FF"/>
      <color rgb="FFFF66FF"/>
      <color rgb="FFFF3300"/>
      <color rgb="FFFF0066"/>
      <color rgb="FFFF6600"/>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6</xdr:row>
      <xdr:rowOff>38100</xdr:rowOff>
    </xdr:from>
    <xdr:to>
      <xdr:col>6</xdr:col>
      <xdr:colOff>178786</xdr:colOff>
      <xdr:row>33</xdr:row>
      <xdr:rowOff>172640</xdr:rowOff>
    </xdr:to>
    <xdr:pic>
      <xdr:nvPicPr>
        <xdr:cNvPr id="2" name="그림 1">
          <a:extLst>
            <a:ext uri="{FF2B5EF4-FFF2-40B4-BE49-F238E27FC236}">
              <a16:creationId xmlns:a16="http://schemas.microsoft.com/office/drawing/2014/main" id="{6FB95253-DA13-43E6-987A-A25A9AFCC057}"/>
            </a:ext>
          </a:extLst>
        </xdr:cNvPr>
        <xdr:cNvPicPr>
          <a:picLocks noChangeAspect="1"/>
        </xdr:cNvPicPr>
      </xdr:nvPicPr>
      <xdr:blipFill>
        <a:blip xmlns:r="http://schemas.openxmlformats.org/officeDocument/2006/relationships" r:embed="rId1"/>
        <a:stretch>
          <a:fillRect/>
        </a:stretch>
      </xdr:blipFill>
      <xdr:spPr>
        <a:xfrm>
          <a:off x="28575" y="1323975"/>
          <a:ext cx="4265011" cy="5792390"/>
        </a:xfrm>
        <a:prstGeom prst="rect">
          <a:avLst/>
        </a:prstGeom>
      </xdr:spPr>
    </xdr:pic>
    <xdr:clientData/>
  </xdr:twoCellAnchor>
  <xdr:twoCellAnchor editAs="oneCell">
    <xdr:from>
      <xdr:col>7</xdr:col>
      <xdr:colOff>21851</xdr:colOff>
      <xdr:row>6</xdr:row>
      <xdr:rowOff>28575</xdr:rowOff>
    </xdr:from>
    <xdr:to>
      <xdr:col>16</xdr:col>
      <xdr:colOff>383801</xdr:colOff>
      <xdr:row>11</xdr:row>
      <xdr:rowOff>142730</xdr:rowOff>
    </xdr:to>
    <xdr:pic>
      <xdr:nvPicPr>
        <xdr:cNvPr id="3" name="그림 2">
          <a:extLst>
            <a:ext uri="{FF2B5EF4-FFF2-40B4-BE49-F238E27FC236}">
              <a16:creationId xmlns:a16="http://schemas.microsoft.com/office/drawing/2014/main" id="{85BC89E3-FEB0-46C8-87BB-EC2D3A5DFBB0}"/>
            </a:ext>
          </a:extLst>
        </xdr:cNvPr>
        <xdr:cNvPicPr>
          <a:picLocks noChangeAspect="1"/>
        </xdr:cNvPicPr>
      </xdr:nvPicPr>
      <xdr:blipFill>
        <a:blip xmlns:r="http://schemas.openxmlformats.org/officeDocument/2006/relationships" r:embed="rId2"/>
        <a:stretch>
          <a:fillRect/>
        </a:stretch>
      </xdr:blipFill>
      <xdr:spPr>
        <a:xfrm>
          <a:off x="4822451" y="1314450"/>
          <a:ext cx="6534150" cy="1161905"/>
        </a:xfrm>
        <a:prstGeom prst="rect">
          <a:avLst/>
        </a:prstGeom>
      </xdr:spPr>
    </xdr:pic>
    <xdr:clientData/>
  </xdr:twoCellAnchor>
  <xdr:twoCellAnchor editAs="oneCell">
    <xdr:from>
      <xdr:col>7</xdr:col>
      <xdr:colOff>28575</xdr:colOff>
      <xdr:row>14</xdr:row>
      <xdr:rowOff>26333</xdr:rowOff>
    </xdr:from>
    <xdr:to>
      <xdr:col>16</xdr:col>
      <xdr:colOff>489697</xdr:colOff>
      <xdr:row>20</xdr:row>
      <xdr:rowOff>85000</xdr:rowOff>
    </xdr:to>
    <xdr:pic>
      <xdr:nvPicPr>
        <xdr:cNvPr id="4" name="그림 3">
          <a:extLst>
            <a:ext uri="{FF2B5EF4-FFF2-40B4-BE49-F238E27FC236}">
              <a16:creationId xmlns:a16="http://schemas.microsoft.com/office/drawing/2014/main" id="{78D1B9E5-4DE5-43B9-AA40-D2C9C186362B}"/>
            </a:ext>
          </a:extLst>
        </xdr:cNvPr>
        <xdr:cNvPicPr>
          <a:picLocks noChangeAspect="1"/>
        </xdr:cNvPicPr>
      </xdr:nvPicPr>
      <xdr:blipFill>
        <a:blip xmlns:r="http://schemas.openxmlformats.org/officeDocument/2006/relationships" r:embed="rId3"/>
        <a:stretch>
          <a:fillRect/>
        </a:stretch>
      </xdr:blipFill>
      <xdr:spPr>
        <a:xfrm>
          <a:off x="4829175" y="2988608"/>
          <a:ext cx="6633322" cy="1315967"/>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yoon3403@nvcp.kr/010-8326-3704"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seunguk.lee@newrizon.kr" TargetMode="External"/><Relationship Id="rId13" Type="http://schemas.openxmlformats.org/officeDocument/2006/relationships/vmlDrawing" Target="../drawings/vmlDrawing1.vml"/><Relationship Id="rId3" Type="http://schemas.openxmlformats.org/officeDocument/2006/relationships/hyperlink" Target="mailto:cywon@terenz.kr" TargetMode="External"/><Relationship Id="rId7" Type="http://schemas.openxmlformats.org/officeDocument/2006/relationships/hyperlink" Target="mailto:ehlee@moplat.io" TargetMode="External"/><Relationship Id="rId12" Type="http://schemas.openxmlformats.org/officeDocument/2006/relationships/printerSettings" Target="../printerSettings/printerSettings2.bin"/><Relationship Id="rId2" Type="http://schemas.openxmlformats.org/officeDocument/2006/relationships/hyperlink" Target="mailto:gunho.song@linksup.co.kr" TargetMode="External"/><Relationship Id="rId1" Type="http://schemas.openxmlformats.org/officeDocument/2006/relationships/hyperlink" Target="mailto:jaejin.cho@linksup.co.kr" TargetMode="External"/><Relationship Id="rId6" Type="http://schemas.openxmlformats.org/officeDocument/2006/relationships/hyperlink" Target="mailto:jhhong@d-enc.com" TargetMode="External"/><Relationship Id="rId11" Type="http://schemas.openxmlformats.org/officeDocument/2006/relationships/hyperlink" Target="mailto:ceo@dentiple.co.kr" TargetMode="External"/><Relationship Id="rId5" Type="http://schemas.openxmlformats.org/officeDocument/2006/relationships/hyperlink" Target="mailto:jhhong@d-enc.com" TargetMode="External"/><Relationship Id="rId10" Type="http://schemas.openxmlformats.org/officeDocument/2006/relationships/hyperlink" Target="mailto:ceo@dentiple.co.kr" TargetMode="External"/><Relationship Id="rId4" Type="http://schemas.openxmlformats.org/officeDocument/2006/relationships/hyperlink" Target="mailto:cywon@terenz.kr" TargetMode="External"/><Relationship Id="rId9" Type="http://schemas.openxmlformats.org/officeDocument/2006/relationships/hyperlink" Target="mailto:eunseo.park@newrizon.kr" TargetMode="External"/><Relationship Id="rId1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C38DA-B012-43A9-A7E4-4463AE0CED75}">
  <sheetPr>
    <pageSetUpPr fitToPage="1"/>
  </sheetPr>
  <dimension ref="A1:P103"/>
  <sheetViews>
    <sheetView topLeftCell="A43" zoomScale="85" zoomScaleNormal="85" workbookViewId="0">
      <selection activeCell="A99" sqref="A99:M103"/>
    </sheetView>
  </sheetViews>
  <sheetFormatPr defaultRowHeight="16.5"/>
  <cols>
    <col min="1" max="1" width="12.375" customWidth="1"/>
    <col min="2" max="2" width="30" customWidth="1"/>
    <col min="3" max="3" width="14.25" customWidth="1"/>
    <col min="4" max="14" width="13.625" customWidth="1"/>
    <col min="16" max="16" width="12.875" bestFit="1" customWidth="1"/>
  </cols>
  <sheetData>
    <row r="1" spans="1:16" ht="17.25" thickBot="1"/>
    <row r="2" spans="1:16" ht="17.25" customHeight="1">
      <c r="A2" s="176" t="s">
        <v>6</v>
      </c>
      <c r="B2" s="177"/>
      <c r="C2" s="177"/>
      <c r="D2" s="177"/>
      <c r="E2" s="177"/>
      <c r="F2" s="177"/>
      <c r="G2" s="177"/>
      <c r="H2" s="177"/>
      <c r="I2" s="177"/>
      <c r="J2" s="177"/>
      <c r="K2" s="177"/>
      <c r="L2" s="177"/>
      <c r="M2" s="178"/>
    </row>
    <row r="3" spans="1:16" ht="17.25" customHeight="1" thickBot="1">
      <c r="A3" s="179"/>
      <c r="B3" s="180"/>
      <c r="C3" s="180"/>
      <c r="D3" s="180"/>
      <c r="E3" s="180"/>
      <c r="F3" s="180"/>
      <c r="G3" s="180"/>
      <c r="H3" s="180"/>
      <c r="I3" s="180"/>
      <c r="J3" s="180"/>
      <c r="K3" s="180"/>
      <c r="L3" s="180"/>
      <c r="M3" s="181"/>
    </row>
    <row r="4" spans="1:16" ht="17.25" thickBot="1">
      <c r="A4" s="4" t="s">
        <v>0</v>
      </c>
      <c r="B4" s="4"/>
      <c r="C4" s="4"/>
      <c r="D4" s="4"/>
      <c r="E4" s="4"/>
      <c r="F4" s="4"/>
      <c r="G4" s="4"/>
      <c r="H4" s="4"/>
      <c r="I4" s="4"/>
      <c r="J4" s="3"/>
      <c r="K4" s="3"/>
      <c r="L4" s="3"/>
      <c r="M4" s="3"/>
    </row>
    <row r="5" spans="1:16" ht="16.5" customHeight="1">
      <c r="A5" s="182" t="s">
        <v>49</v>
      </c>
      <c r="B5" s="183"/>
      <c r="C5" s="183"/>
      <c r="D5" s="183"/>
      <c r="E5" s="183"/>
      <c r="F5" s="183"/>
      <c r="G5" s="183"/>
      <c r="H5" s="183"/>
      <c r="I5" s="183"/>
      <c r="J5" s="183"/>
      <c r="K5" s="183"/>
      <c r="L5" s="183"/>
      <c r="M5" s="184"/>
    </row>
    <row r="6" spans="1:16">
      <c r="A6" s="185"/>
      <c r="B6" s="186"/>
      <c r="C6" s="186"/>
      <c r="D6" s="186"/>
      <c r="E6" s="186"/>
      <c r="F6" s="186"/>
      <c r="G6" s="186"/>
      <c r="H6" s="186"/>
      <c r="I6" s="186"/>
      <c r="J6" s="186"/>
      <c r="K6" s="186"/>
      <c r="L6" s="186"/>
      <c r="M6" s="187"/>
    </row>
    <row r="7" spans="1:16">
      <c r="A7" s="185"/>
      <c r="B7" s="186"/>
      <c r="C7" s="186"/>
      <c r="D7" s="186"/>
      <c r="E7" s="186"/>
      <c r="F7" s="186"/>
      <c r="G7" s="186"/>
      <c r="H7" s="186"/>
      <c r="I7" s="186"/>
      <c r="J7" s="186"/>
      <c r="K7" s="186"/>
      <c r="L7" s="186"/>
      <c r="M7" s="187"/>
    </row>
    <row r="8" spans="1:16">
      <c r="A8" s="185"/>
      <c r="B8" s="186"/>
      <c r="C8" s="186"/>
      <c r="D8" s="186"/>
      <c r="E8" s="186"/>
      <c r="F8" s="186"/>
      <c r="G8" s="186"/>
      <c r="H8" s="186"/>
      <c r="I8" s="186"/>
      <c r="J8" s="186"/>
      <c r="K8" s="186"/>
      <c r="L8" s="186"/>
      <c r="M8" s="187"/>
      <c r="O8" s="5"/>
      <c r="P8" s="5"/>
    </row>
    <row r="9" spans="1:16">
      <c r="A9" s="185"/>
      <c r="B9" s="186"/>
      <c r="C9" s="186"/>
      <c r="D9" s="186"/>
      <c r="E9" s="186"/>
      <c r="F9" s="186"/>
      <c r="G9" s="186"/>
      <c r="H9" s="186"/>
      <c r="I9" s="186"/>
      <c r="J9" s="186"/>
      <c r="K9" s="186"/>
      <c r="L9" s="186"/>
      <c r="M9" s="187"/>
      <c r="O9" s="5"/>
      <c r="P9" s="6"/>
    </row>
    <row r="10" spans="1:16">
      <c r="A10" s="185"/>
      <c r="B10" s="186"/>
      <c r="C10" s="186"/>
      <c r="D10" s="186"/>
      <c r="E10" s="186"/>
      <c r="F10" s="186"/>
      <c r="G10" s="186"/>
      <c r="H10" s="186"/>
      <c r="I10" s="186"/>
      <c r="J10" s="186"/>
      <c r="K10" s="186"/>
      <c r="L10" s="186"/>
      <c r="M10" s="187"/>
      <c r="O10" s="5"/>
      <c r="P10" s="6"/>
    </row>
    <row r="11" spans="1:16" ht="0.75" customHeight="1">
      <c r="A11" s="185"/>
      <c r="B11" s="186"/>
      <c r="C11" s="186"/>
      <c r="D11" s="186"/>
      <c r="E11" s="186"/>
      <c r="F11" s="186"/>
      <c r="G11" s="186"/>
      <c r="H11" s="186"/>
      <c r="I11" s="186"/>
      <c r="J11" s="186"/>
      <c r="K11" s="186"/>
      <c r="L11" s="186"/>
      <c r="M11" s="187"/>
      <c r="O11" s="5"/>
      <c r="P11" s="6"/>
    </row>
    <row r="12" spans="1:16" ht="15.75" customHeight="1" thickBot="1">
      <c r="A12" s="188"/>
      <c r="B12" s="189"/>
      <c r="C12" s="189"/>
      <c r="D12" s="189"/>
      <c r="E12" s="189"/>
      <c r="F12" s="189"/>
      <c r="G12" s="189"/>
      <c r="H12" s="189"/>
      <c r="I12" s="189"/>
      <c r="J12" s="189"/>
      <c r="K12" s="189"/>
      <c r="L12" s="189"/>
      <c r="M12" s="190"/>
      <c r="O12" s="7"/>
      <c r="P12" s="8"/>
    </row>
    <row r="13" spans="1:16" ht="17.25" thickBot="1">
      <c r="A13" s="14"/>
      <c r="B13" s="15"/>
      <c r="C13" s="15"/>
      <c r="D13" s="15"/>
      <c r="E13" s="15"/>
      <c r="F13" s="15"/>
      <c r="G13" s="15"/>
      <c r="H13" s="15"/>
      <c r="I13" s="15"/>
      <c r="J13" s="15"/>
      <c r="K13" s="15"/>
      <c r="L13" s="15"/>
      <c r="M13" s="15"/>
      <c r="O13" s="7"/>
      <c r="P13" s="8"/>
    </row>
    <row r="14" spans="1:16" ht="17.25" thickBot="1">
      <c r="A14" s="18" t="s">
        <v>8</v>
      </c>
      <c r="B14" s="191" t="s">
        <v>165</v>
      </c>
      <c r="C14" s="191"/>
      <c r="D14" s="15"/>
      <c r="E14" s="15"/>
      <c r="F14" s="15"/>
      <c r="G14" s="15"/>
      <c r="H14" s="15"/>
      <c r="I14" s="15"/>
      <c r="J14" s="15"/>
      <c r="K14" s="15"/>
      <c r="L14" s="15"/>
      <c r="M14" s="15"/>
      <c r="O14" s="7"/>
      <c r="P14" s="8"/>
    </row>
    <row r="15" spans="1:16" ht="24.75" thickBot="1">
      <c r="A15" s="18" t="s">
        <v>9</v>
      </c>
      <c r="B15" s="192" t="s">
        <v>181</v>
      </c>
      <c r="C15" s="191"/>
      <c r="D15" s="15"/>
      <c r="E15" s="15"/>
      <c r="F15" s="15"/>
      <c r="G15" s="15"/>
      <c r="H15" s="15"/>
      <c r="I15" s="15"/>
      <c r="J15" s="15"/>
      <c r="K15" s="15"/>
      <c r="L15" s="15"/>
      <c r="M15" s="15"/>
      <c r="O15" s="7"/>
      <c r="P15" s="8"/>
    </row>
    <row r="16" spans="1:16" ht="17.25" thickBot="1">
      <c r="A16" s="12"/>
      <c r="B16" s="13"/>
      <c r="C16" s="13"/>
      <c r="D16" s="13"/>
      <c r="E16" s="13"/>
      <c r="F16" s="13"/>
      <c r="G16" s="13"/>
      <c r="H16" s="13"/>
      <c r="I16" s="13"/>
      <c r="J16" s="13"/>
      <c r="K16" s="13"/>
      <c r="L16" s="13"/>
      <c r="M16" s="13"/>
      <c r="O16" s="7"/>
      <c r="P16" s="8"/>
    </row>
    <row r="17" spans="1:16" ht="17.25">
      <c r="A17" s="92" t="s">
        <v>21</v>
      </c>
      <c r="B17" s="93"/>
      <c r="C17" s="93"/>
      <c r="D17" s="93"/>
      <c r="E17" s="93"/>
      <c r="F17" s="93"/>
      <c r="G17" s="93"/>
      <c r="H17" s="93"/>
      <c r="I17" s="93"/>
      <c r="J17" s="93"/>
      <c r="K17" s="93"/>
      <c r="L17" s="93"/>
      <c r="M17" s="94"/>
      <c r="O17" s="7"/>
      <c r="P17" s="8"/>
    </row>
    <row r="18" spans="1:16">
      <c r="A18" s="79" t="s">
        <v>2</v>
      </c>
      <c r="B18" s="80"/>
      <c r="C18" s="80"/>
      <c r="D18" s="90" t="s">
        <v>171</v>
      </c>
      <c r="E18" s="90"/>
      <c r="F18" s="90"/>
      <c r="G18" s="90"/>
      <c r="H18" s="90"/>
      <c r="I18" s="90"/>
      <c r="J18" s="90"/>
      <c r="K18" s="90"/>
      <c r="L18" s="90"/>
      <c r="M18" s="91"/>
      <c r="O18" s="5"/>
      <c r="P18" s="6"/>
    </row>
    <row r="19" spans="1:16">
      <c r="A19" s="79" t="s">
        <v>26</v>
      </c>
      <c r="B19" s="80"/>
      <c r="C19" s="80"/>
      <c r="D19" s="90" t="s">
        <v>172</v>
      </c>
      <c r="E19" s="90"/>
      <c r="F19" s="90"/>
      <c r="G19" s="90"/>
      <c r="H19" s="90"/>
      <c r="I19" s="90"/>
      <c r="J19" s="90"/>
      <c r="K19" s="90"/>
      <c r="L19" s="90"/>
      <c r="M19" s="91"/>
      <c r="O19" s="5"/>
      <c r="P19" s="6"/>
    </row>
    <row r="20" spans="1:16">
      <c r="A20" s="79" t="s">
        <v>27</v>
      </c>
      <c r="B20" s="80"/>
      <c r="C20" s="80"/>
      <c r="D20" s="90" t="s">
        <v>173</v>
      </c>
      <c r="E20" s="90"/>
      <c r="F20" s="90"/>
      <c r="G20" s="90"/>
      <c r="H20" s="90"/>
      <c r="I20" s="90"/>
      <c r="J20" s="90"/>
      <c r="K20" s="90"/>
      <c r="L20" s="90"/>
      <c r="M20" s="91"/>
      <c r="O20" s="5"/>
      <c r="P20" s="6"/>
    </row>
    <row r="21" spans="1:16">
      <c r="A21" s="79" t="s">
        <v>28</v>
      </c>
      <c r="B21" s="80"/>
      <c r="C21" s="80"/>
      <c r="D21" s="90" t="s">
        <v>174</v>
      </c>
      <c r="E21" s="90"/>
      <c r="F21" s="90"/>
      <c r="G21" s="90"/>
      <c r="H21" s="90"/>
      <c r="I21" s="90"/>
      <c r="J21" s="90"/>
      <c r="K21" s="90"/>
      <c r="L21" s="90"/>
      <c r="M21" s="91"/>
      <c r="O21" s="5"/>
      <c r="P21" s="6"/>
    </row>
    <row r="22" spans="1:16">
      <c r="A22" s="79" t="s">
        <v>29</v>
      </c>
      <c r="B22" s="80"/>
      <c r="C22" s="80"/>
      <c r="D22" s="90">
        <v>14</v>
      </c>
      <c r="E22" s="90"/>
      <c r="F22" s="90"/>
      <c r="G22" s="90"/>
      <c r="H22" s="90"/>
      <c r="I22" s="90"/>
      <c r="J22" s="90"/>
      <c r="K22" s="90"/>
      <c r="L22" s="90"/>
      <c r="M22" s="91"/>
      <c r="O22" s="5"/>
      <c r="P22" s="6"/>
    </row>
    <row r="23" spans="1:16">
      <c r="A23" s="79" t="s">
        <v>30</v>
      </c>
      <c r="B23" s="80"/>
      <c r="C23" s="80"/>
      <c r="D23" s="89">
        <v>135500000000</v>
      </c>
      <c r="E23" s="90"/>
      <c r="F23" s="90"/>
      <c r="G23" s="90"/>
      <c r="H23" s="90"/>
      <c r="I23" s="90"/>
      <c r="J23" s="90"/>
      <c r="K23" s="90"/>
      <c r="L23" s="90"/>
      <c r="M23" s="91"/>
      <c r="O23" s="5"/>
      <c r="P23" s="6"/>
    </row>
    <row r="24" spans="1:16">
      <c r="A24" s="79" t="s">
        <v>50</v>
      </c>
      <c r="B24" s="80"/>
      <c r="C24" s="80"/>
      <c r="D24" s="90" t="s">
        <v>176</v>
      </c>
      <c r="E24" s="90"/>
      <c r="F24" s="90"/>
      <c r="G24" s="90"/>
      <c r="H24" s="90"/>
      <c r="I24" s="90"/>
      <c r="J24" s="90"/>
      <c r="K24" s="90"/>
      <c r="L24" s="90"/>
      <c r="M24" s="91"/>
      <c r="O24" s="5"/>
      <c r="P24" s="6"/>
    </row>
    <row r="25" spans="1:16">
      <c r="A25" s="79" t="s">
        <v>31</v>
      </c>
      <c r="B25" s="80"/>
      <c r="C25" s="80"/>
      <c r="D25" s="81" t="s">
        <v>175</v>
      </c>
      <c r="E25" s="81"/>
      <c r="F25" s="81"/>
      <c r="G25" s="81"/>
      <c r="H25" s="81"/>
      <c r="I25" s="81"/>
      <c r="J25" s="81"/>
      <c r="K25" s="81"/>
      <c r="L25" s="81"/>
      <c r="M25" s="82"/>
      <c r="N25" s="3"/>
      <c r="O25" s="5"/>
      <c r="P25" s="6"/>
    </row>
    <row r="26" spans="1:16">
      <c r="A26" s="79" t="s">
        <v>32</v>
      </c>
      <c r="B26" s="80"/>
      <c r="C26" s="80"/>
      <c r="D26" s="81" t="s">
        <v>215</v>
      </c>
      <c r="E26" s="81"/>
      <c r="F26" s="81"/>
      <c r="G26" s="81"/>
      <c r="H26" s="81"/>
      <c r="I26" s="81"/>
      <c r="J26" s="81"/>
      <c r="K26" s="81"/>
      <c r="L26" s="81"/>
      <c r="M26" s="82"/>
      <c r="N26" s="3"/>
      <c r="O26" s="9"/>
      <c r="P26" s="10"/>
    </row>
    <row r="27" spans="1:16">
      <c r="A27" s="83" t="s">
        <v>33</v>
      </c>
      <c r="B27" s="84"/>
      <c r="C27" s="84"/>
      <c r="D27" s="81" t="s">
        <v>216</v>
      </c>
      <c r="E27" s="81"/>
      <c r="F27" s="81"/>
      <c r="G27" s="81"/>
      <c r="H27" s="81"/>
      <c r="I27" s="81"/>
      <c r="J27" s="81"/>
      <c r="K27" s="81"/>
      <c r="L27" s="81"/>
      <c r="M27" s="82"/>
      <c r="N27" s="3"/>
    </row>
    <row r="28" spans="1:16" ht="17.25" thickBot="1">
      <c r="A28" s="85" t="s">
        <v>34</v>
      </c>
      <c r="B28" s="86"/>
      <c r="C28" s="86"/>
      <c r="D28" s="87" t="s">
        <v>217</v>
      </c>
      <c r="E28" s="87"/>
      <c r="F28" s="87"/>
      <c r="G28" s="87"/>
      <c r="H28" s="87"/>
      <c r="I28" s="87"/>
      <c r="J28" s="87"/>
      <c r="K28" s="87"/>
      <c r="L28" s="87"/>
      <c r="M28" s="88"/>
      <c r="N28" s="3"/>
      <c r="O28" s="9"/>
      <c r="P28" s="10"/>
    </row>
    <row r="29" spans="1:16" ht="17.25" thickBot="1">
      <c r="A29" s="66"/>
      <c r="B29" s="64"/>
      <c r="C29" s="64"/>
      <c r="D29" s="65"/>
      <c r="E29" s="65"/>
      <c r="F29" s="65"/>
      <c r="G29" s="65"/>
      <c r="H29" s="65"/>
      <c r="I29" s="65"/>
      <c r="J29" s="65"/>
      <c r="K29" s="65"/>
      <c r="L29" s="65"/>
      <c r="M29" s="67"/>
      <c r="N29" s="3"/>
      <c r="O29" s="9"/>
      <c r="P29" s="10"/>
    </row>
    <row r="30" spans="1:16" ht="17.25">
      <c r="A30" s="92" t="s">
        <v>21</v>
      </c>
      <c r="B30" s="93"/>
      <c r="C30" s="93"/>
      <c r="D30" s="93"/>
      <c r="E30" s="93"/>
      <c r="F30" s="93"/>
      <c r="G30" s="93"/>
      <c r="H30" s="93"/>
      <c r="I30" s="93"/>
      <c r="J30" s="93"/>
      <c r="K30" s="93"/>
      <c r="L30" s="93"/>
      <c r="M30" s="94"/>
      <c r="O30" s="7"/>
      <c r="P30" s="8"/>
    </row>
    <row r="31" spans="1:16">
      <c r="A31" s="79" t="s">
        <v>2</v>
      </c>
      <c r="B31" s="80"/>
      <c r="C31" s="80"/>
      <c r="D31" s="197" t="s">
        <v>218</v>
      </c>
      <c r="E31" s="197"/>
      <c r="F31" s="197"/>
      <c r="G31" s="197"/>
      <c r="H31" s="197"/>
      <c r="I31" s="197"/>
      <c r="J31" s="197"/>
      <c r="K31" s="197"/>
      <c r="L31" s="197"/>
      <c r="M31" s="196"/>
      <c r="O31" s="5"/>
      <c r="P31" s="6"/>
    </row>
    <row r="32" spans="1:16">
      <c r="A32" s="79" t="s">
        <v>26</v>
      </c>
      <c r="B32" s="80"/>
      <c r="C32" s="80"/>
      <c r="D32" s="197" t="s">
        <v>219</v>
      </c>
      <c r="E32" s="197"/>
      <c r="F32" s="197"/>
      <c r="G32" s="197"/>
      <c r="H32" s="197"/>
      <c r="I32" s="197"/>
      <c r="J32" s="197"/>
      <c r="K32" s="197"/>
      <c r="L32" s="197"/>
      <c r="M32" s="196"/>
      <c r="O32" s="5"/>
      <c r="P32" s="6"/>
    </row>
    <row r="33" spans="1:16">
      <c r="A33" s="79" t="s">
        <v>27</v>
      </c>
      <c r="B33" s="80"/>
      <c r="C33" s="80"/>
      <c r="D33" s="197" t="s">
        <v>220</v>
      </c>
      <c r="E33" s="197"/>
      <c r="F33" s="197"/>
      <c r="G33" s="197"/>
      <c r="H33" s="197"/>
      <c r="I33" s="197"/>
      <c r="J33" s="197"/>
      <c r="K33" s="197"/>
      <c r="L33" s="197"/>
      <c r="M33" s="196"/>
      <c r="O33" s="5"/>
      <c r="P33" s="6"/>
    </row>
    <row r="34" spans="1:16">
      <c r="A34" s="79" t="s">
        <v>28</v>
      </c>
      <c r="B34" s="80"/>
      <c r="C34" s="80"/>
      <c r="D34" s="197" t="s">
        <v>221</v>
      </c>
      <c r="E34" s="197"/>
      <c r="F34" s="197"/>
      <c r="G34" s="197"/>
      <c r="H34" s="197"/>
      <c r="I34" s="197"/>
      <c r="J34" s="197"/>
      <c r="K34" s="197"/>
      <c r="L34" s="197"/>
      <c r="M34" s="196"/>
      <c r="O34" s="5"/>
      <c r="P34" s="6"/>
    </row>
    <row r="35" spans="1:16">
      <c r="A35" s="79" t="s">
        <v>29</v>
      </c>
      <c r="B35" s="80"/>
      <c r="C35" s="80"/>
      <c r="D35" s="197" t="s">
        <v>222</v>
      </c>
      <c r="E35" s="197"/>
      <c r="F35" s="197"/>
      <c r="G35" s="197"/>
      <c r="H35" s="197"/>
      <c r="I35" s="197"/>
      <c r="J35" s="197"/>
      <c r="K35" s="197"/>
      <c r="L35" s="197"/>
      <c r="M35" s="196"/>
      <c r="O35" s="5"/>
      <c r="P35" s="6"/>
    </row>
    <row r="36" spans="1:16">
      <c r="A36" s="79" t="s">
        <v>30</v>
      </c>
      <c r="B36" s="80"/>
      <c r="C36" s="80"/>
      <c r="D36" s="193">
        <v>37661000000</v>
      </c>
      <c r="E36" s="198"/>
      <c r="F36" s="198"/>
      <c r="G36" s="198"/>
      <c r="H36" s="198"/>
      <c r="I36" s="198"/>
      <c r="J36" s="198"/>
      <c r="K36" s="198"/>
      <c r="L36" s="198"/>
      <c r="M36" s="199"/>
      <c r="O36" s="5"/>
      <c r="P36" s="6"/>
    </row>
    <row r="37" spans="1:16">
      <c r="A37" s="79" t="s">
        <v>50</v>
      </c>
      <c r="B37" s="80"/>
      <c r="C37" s="80"/>
      <c r="D37" s="200">
        <v>3780029877</v>
      </c>
      <c r="E37" s="197"/>
      <c r="F37" s="197"/>
      <c r="G37" s="197"/>
      <c r="H37" s="197"/>
      <c r="I37" s="197"/>
      <c r="J37" s="197"/>
      <c r="K37" s="197"/>
      <c r="L37" s="197"/>
      <c r="M37" s="196"/>
      <c r="O37" s="5"/>
      <c r="P37" s="6"/>
    </row>
    <row r="38" spans="1:16">
      <c r="A38" s="79" t="s">
        <v>31</v>
      </c>
      <c r="B38" s="80"/>
      <c r="C38" s="80"/>
      <c r="D38" s="81">
        <v>29</v>
      </c>
      <c r="E38" s="81"/>
      <c r="F38" s="81"/>
      <c r="G38" s="81"/>
      <c r="H38" s="81"/>
      <c r="I38" s="81"/>
      <c r="J38" s="81"/>
      <c r="K38" s="81"/>
      <c r="L38" s="81"/>
      <c r="M38" s="82"/>
      <c r="N38" s="3"/>
      <c r="O38" s="5"/>
      <c r="P38" s="6"/>
    </row>
    <row r="39" spans="1:16">
      <c r="A39" s="79" t="s">
        <v>32</v>
      </c>
      <c r="B39" s="80"/>
      <c r="C39" s="80"/>
      <c r="D39" s="81">
        <v>5</v>
      </c>
      <c r="E39" s="81"/>
      <c r="F39" s="81"/>
      <c r="G39" s="81"/>
      <c r="H39" s="81"/>
      <c r="I39" s="81"/>
      <c r="J39" s="81"/>
      <c r="K39" s="81"/>
      <c r="L39" s="81"/>
      <c r="M39" s="82"/>
      <c r="N39" s="3"/>
      <c r="O39" s="9"/>
      <c r="P39" s="10"/>
    </row>
    <row r="40" spans="1:16">
      <c r="A40" s="83" t="s">
        <v>33</v>
      </c>
      <c r="B40" s="84"/>
      <c r="C40" s="84"/>
      <c r="D40" s="81">
        <v>8</v>
      </c>
      <c r="E40" s="81"/>
      <c r="F40" s="81"/>
      <c r="G40" s="81"/>
      <c r="H40" s="81"/>
      <c r="I40" s="81"/>
      <c r="J40" s="81"/>
      <c r="K40" s="81"/>
      <c r="L40" s="81"/>
      <c r="M40" s="82"/>
      <c r="N40" s="3"/>
    </row>
    <row r="41" spans="1:16" ht="17.25" thickBot="1">
      <c r="A41" s="85" t="s">
        <v>34</v>
      </c>
      <c r="B41" s="86"/>
      <c r="C41" s="86"/>
      <c r="D41" s="194">
        <v>4</v>
      </c>
      <c r="E41" s="194"/>
      <c r="F41" s="194"/>
      <c r="G41" s="194"/>
      <c r="H41" s="194"/>
      <c r="I41" s="194"/>
      <c r="J41" s="194"/>
      <c r="K41" s="194"/>
      <c r="L41" s="194"/>
      <c r="M41" s="195"/>
      <c r="N41" s="3"/>
      <c r="O41" s="9"/>
      <c r="P41" s="10"/>
    </row>
    <row r="42" spans="1:16" ht="17.25" thickBot="1">
      <c r="A42" s="2"/>
      <c r="B42" s="2"/>
      <c r="C42" s="2"/>
      <c r="D42" s="2"/>
      <c r="E42" s="2"/>
      <c r="F42" s="2"/>
      <c r="G42" s="2"/>
      <c r="H42" s="2"/>
      <c r="I42" s="2"/>
      <c r="O42" s="9"/>
      <c r="P42" s="10"/>
    </row>
    <row r="43" spans="1:16" ht="17.25">
      <c r="A43" s="107" t="s">
        <v>150</v>
      </c>
      <c r="B43" s="108"/>
      <c r="C43" s="108"/>
      <c r="D43" s="108"/>
      <c r="E43" s="108"/>
      <c r="F43" s="108"/>
      <c r="G43" s="108"/>
      <c r="H43" s="108"/>
      <c r="I43" s="108"/>
      <c r="J43" s="108"/>
      <c r="K43" s="108"/>
      <c r="L43" s="108"/>
      <c r="M43" s="109"/>
      <c r="O43" s="9"/>
      <c r="P43" s="10"/>
    </row>
    <row r="44" spans="1:16">
      <c r="A44" s="95" t="s">
        <v>151</v>
      </c>
      <c r="B44" s="96"/>
      <c r="C44" s="96"/>
      <c r="D44" s="103" t="s">
        <v>166</v>
      </c>
      <c r="E44" s="103"/>
      <c r="F44" s="103"/>
      <c r="G44" s="103"/>
      <c r="H44" s="103"/>
      <c r="I44" s="103"/>
      <c r="J44" s="103"/>
      <c r="K44" s="103"/>
      <c r="L44" s="103"/>
      <c r="M44" s="104"/>
      <c r="O44" s="11"/>
      <c r="P44" s="10"/>
    </row>
    <row r="45" spans="1:16">
      <c r="A45" s="95" t="s">
        <v>152</v>
      </c>
      <c r="B45" s="96"/>
      <c r="C45" s="96"/>
      <c r="D45" s="103" t="s">
        <v>167</v>
      </c>
      <c r="E45" s="103"/>
      <c r="F45" s="103"/>
      <c r="G45" s="103"/>
      <c r="H45" s="103"/>
      <c r="I45" s="103"/>
      <c r="J45" s="103"/>
      <c r="K45" s="103"/>
      <c r="L45" s="103"/>
      <c r="M45" s="104"/>
      <c r="O45" s="11"/>
      <c r="P45" s="10"/>
    </row>
    <row r="46" spans="1:16">
      <c r="A46" s="95" t="s">
        <v>153</v>
      </c>
      <c r="B46" s="96"/>
      <c r="C46" s="96"/>
      <c r="D46" s="103" t="s">
        <v>168</v>
      </c>
      <c r="E46" s="103"/>
      <c r="F46" s="103"/>
      <c r="G46" s="103"/>
      <c r="H46" s="103"/>
      <c r="I46" s="103"/>
      <c r="J46" s="103"/>
      <c r="K46" s="103"/>
      <c r="L46" s="103"/>
      <c r="M46" s="104"/>
      <c r="O46" s="11"/>
      <c r="P46" s="10"/>
    </row>
    <row r="47" spans="1:16">
      <c r="A47" s="95" t="s">
        <v>154</v>
      </c>
      <c r="B47" s="96"/>
      <c r="C47" s="96"/>
      <c r="D47" s="103"/>
      <c r="E47" s="103"/>
      <c r="F47" s="103"/>
      <c r="G47" s="103"/>
      <c r="H47" s="103"/>
      <c r="I47" s="103"/>
      <c r="J47" s="103"/>
      <c r="K47" s="103"/>
      <c r="L47" s="103"/>
      <c r="M47" s="104"/>
      <c r="O47" s="11"/>
      <c r="P47" s="10"/>
    </row>
    <row r="48" spans="1:16">
      <c r="A48" s="95" t="s">
        <v>155</v>
      </c>
      <c r="B48" s="96"/>
      <c r="C48" s="96"/>
      <c r="D48" s="103" t="s">
        <v>169</v>
      </c>
      <c r="E48" s="103"/>
      <c r="F48" s="103"/>
      <c r="G48" s="103"/>
      <c r="H48" s="103"/>
      <c r="I48" s="103"/>
      <c r="J48" s="103"/>
      <c r="K48" s="103"/>
      <c r="L48" s="103"/>
      <c r="M48" s="104"/>
      <c r="O48" s="11"/>
      <c r="P48" s="10"/>
    </row>
    <row r="49" spans="1:16">
      <c r="A49" s="95" t="s">
        <v>156</v>
      </c>
      <c r="B49" s="96"/>
      <c r="C49" s="96"/>
      <c r="D49" s="103" t="s">
        <v>170</v>
      </c>
      <c r="E49" s="103"/>
      <c r="F49" s="103"/>
      <c r="G49" s="103"/>
      <c r="H49" s="103"/>
      <c r="I49" s="103"/>
      <c r="J49" s="103"/>
      <c r="K49" s="103"/>
      <c r="L49" s="103"/>
      <c r="M49" s="104"/>
      <c r="O49" s="11"/>
      <c r="P49" s="10"/>
    </row>
    <row r="50" spans="1:16">
      <c r="A50" s="95" t="s">
        <v>157</v>
      </c>
      <c r="B50" s="96"/>
      <c r="C50" s="96"/>
      <c r="D50" s="105">
        <v>5500000000</v>
      </c>
      <c r="E50" s="105"/>
      <c r="F50" s="105"/>
      <c r="G50" s="105"/>
      <c r="H50" s="105"/>
      <c r="I50" s="105"/>
      <c r="J50" s="105"/>
      <c r="K50" s="105"/>
      <c r="L50" s="105"/>
      <c r="M50" s="106"/>
      <c r="O50" s="11"/>
      <c r="P50" s="10"/>
    </row>
    <row r="51" spans="1:16">
      <c r="A51" s="95" t="s">
        <v>158</v>
      </c>
      <c r="B51" s="96"/>
      <c r="C51" s="96"/>
      <c r="D51" s="105">
        <v>5500000000</v>
      </c>
      <c r="E51" s="105"/>
      <c r="F51" s="105"/>
      <c r="G51" s="105"/>
      <c r="H51" s="105"/>
      <c r="I51" s="105"/>
      <c r="J51" s="105"/>
      <c r="K51" s="105"/>
      <c r="L51" s="105"/>
      <c r="M51" s="106"/>
      <c r="O51" s="11"/>
      <c r="P51" s="10"/>
    </row>
    <row r="52" spans="1:16">
      <c r="A52" s="95" t="s">
        <v>159</v>
      </c>
      <c r="B52" s="96"/>
      <c r="C52" s="96"/>
      <c r="D52" s="97">
        <v>4149409571</v>
      </c>
      <c r="E52" s="97"/>
      <c r="F52" s="97"/>
      <c r="G52" s="97"/>
      <c r="H52" s="97"/>
      <c r="I52" s="97"/>
      <c r="J52" s="97"/>
      <c r="K52" s="97"/>
      <c r="L52" s="97"/>
      <c r="M52" s="98"/>
    </row>
    <row r="53" spans="1:16">
      <c r="A53" s="95" t="s">
        <v>160</v>
      </c>
      <c r="B53" s="96"/>
      <c r="C53" s="96"/>
      <c r="D53" s="97">
        <v>434903628</v>
      </c>
      <c r="E53" s="97"/>
      <c r="F53" s="97"/>
      <c r="G53" s="97"/>
      <c r="H53" s="97"/>
      <c r="I53" s="97"/>
      <c r="J53" s="97"/>
      <c r="K53" s="97"/>
      <c r="L53" s="97"/>
      <c r="M53" s="98"/>
    </row>
    <row r="54" spans="1:16">
      <c r="A54" s="95" t="s">
        <v>161</v>
      </c>
      <c r="B54" s="96"/>
      <c r="C54" s="96"/>
      <c r="D54" s="97">
        <v>0</v>
      </c>
      <c r="E54" s="97"/>
      <c r="F54" s="97"/>
      <c r="G54" s="97"/>
      <c r="H54" s="97"/>
      <c r="I54" s="97"/>
      <c r="J54" s="97"/>
      <c r="K54" s="97"/>
      <c r="L54" s="97"/>
      <c r="M54" s="98"/>
    </row>
    <row r="55" spans="1:16">
      <c r="A55" s="95" t="s">
        <v>162</v>
      </c>
      <c r="B55" s="96"/>
      <c r="C55" s="96"/>
      <c r="D55" s="97" t="s">
        <v>182</v>
      </c>
      <c r="E55" s="97"/>
      <c r="F55" s="97"/>
      <c r="G55" s="97"/>
      <c r="H55" s="97"/>
      <c r="I55" s="97"/>
      <c r="J55" s="97"/>
      <c r="K55" s="97"/>
      <c r="L55" s="97"/>
      <c r="M55" s="98"/>
    </row>
    <row r="56" spans="1:16" ht="17.25" thickBot="1">
      <c r="A56" s="99" t="s">
        <v>163</v>
      </c>
      <c r="B56" s="100"/>
      <c r="C56" s="100"/>
      <c r="D56" s="101">
        <v>1450527448</v>
      </c>
      <c r="E56" s="101"/>
      <c r="F56" s="101"/>
      <c r="G56" s="101"/>
      <c r="H56" s="101"/>
      <c r="I56" s="101"/>
      <c r="J56" s="101"/>
      <c r="K56" s="101"/>
      <c r="L56" s="101"/>
      <c r="M56" s="102"/>
    </row>
    <row r="57" spans="1:16" ht="17.25" thickBot="1"/>
    <row r="58" spans="1:16" ht="17.25">
      <c r="A58" s="107" t="s">
        <v>22</v>
      </c>
      <c r="B58" s="108"/>
      <c r="C58" s="108"/>
      <c r="D58" s="108"/>
      <c r="E58" s="108"/>
      <c r="F58" s="109"/>
      <c r="M58" s="28"/>
      <c r="N58" s="28"/>
    </row>
    <row r="59" spans="1:16" ht="16.5" customHeight="1">
      <c r="A59" s="175" t="s">
        <v>1</v>
      </c>
      <c r="B59" s="175"/>
      <c r="C59" s="175"/>
      <c r="D59" s="40" t="s">
        <v>141</v>
      </c>
      <c r="E59" s="41" t="s">
        <v>145</v>
      </c>
      <c r="F59" s="42" t="s">
        <v>146</v>
      </c>
      <c r="G59" s="50" t="s">
        <v>147</v>
      </c>
      <c r="M59" s="29"/>
    </row>
    <row r="60" spans="1:16">
      <c r="A60" s="173" t="s">
        <v>10</v>
      </c>
      <c r="B60" s="174"/>
      <c r="C60" s="174"/>
      <c r="D60" s="259">
        <v>1</v>
      </c>
      <c r="E60" s="38"/>
      <c r="F60" s="36"/>
    </row>
    <row r="61" spans="1:16">
      <c r="A61" s="173" t="s">
        <v>35</v>
      </c>
      <c r="B61" s="174"/>
      <c r="C61" s="174"/>
      <c r="D61" s="259">
        <v>300000000</v>
      </c>
      <c r="E61" s="38"/>
      <c r="F61" s="36"/>
    </row>
    <row r="62" spans="1:16">
      <c r="A62" s="173" t="s">
        <v>36</v>
      </c>
      <c r="B62" s="174"/>
      <c r="C62" s="174"/>
      <c r="D62" s="259">
        <v>1</v>
      </c>
      <c r="E62" s="38"/>
      <c r="F62" s="36"/>
    </row>
    <row r="63" spans="1:16">
      <c r="A63" s="173" t="s">
        <v>37</v>
      </c>
      <c r="B63" s="174"/>
      <c r="C63" s="174"/>
      <c r="D63" s="259">
        <v>300000000</v>
      </c>
      <c r="E63" s="38"/>
      <c r="F63" s="36"/>
    </row>
    <row r="64" spans="1:16">
      <c r="A64" s="161" t="s">
        <v>38</v>
      </c>
      <c r="B64" s="162"/>
      <c r="C64" s="163"/>
      <c r="D64" s="259">
        <v>1</v>
      </c>
      <c r="E64" s="38"/>
      <c r="F64" s="36"/>
    </row>
    <row r="65" spans="1:14">
      <c r="A65" s="161" t="s">
        <v>39</v>
      </c>
      <c r="B65" s="162"/>
      <c r="C65" s="163"/>
      <c r="D65" s="259">
        <v>0</v>
      </c>
      <c r="E65" s="38"/>
      <c r="F65" s="36"/>
    </row>
    <row r="66" spans="1:14">
      <c r="A66" s="161" t="s">
        <v>40</v>
      </c>
      <c r="B66" s="162"/>
      <c r="C66" s="163"/>
      <c r="D66" s="259">
        <v>0</v>
      </c>
      <c r="E66" s="38"/>
      <c r="F66" s="36"/>
    </row>
    <row r="67" spans="1:14">
      <c r="A67" s="161" t="s">
        <v>41</v>
      </c>
      <c r="B67" s="162"/>
      <c r="C67" s="163"/>
      <c r="D67" s="259">
        <v>0</v>
      </c>
      <c r="E67" s="38"/>
      <c r="F67" s="36"/>
    </row>
    <row r="68" spans="1:14">
      <c r="A68" s="170" t="s">
        <v>42</v>
      </c>
      <c r="B68" s="171"/>
      <c r="C68" s="172"/>
      <c r="D68" s="259">
        <v>0</v>
      </c>
      <c r="E68" s="38"/>
      <c r="F68" s="36"/>
    </row>
    <row r="69" spans="1:14" ht="17.25" thickBot="1">
      <c r="A69" s="170" t="s">
        <v>43</v>
      </c>
      <c r="B69" s="171"/>
      <c r="C69" s="172"/>
      <c r="D69" s="259">
        <v>0</v>
      </c>
      <c r="E69" s="45"/>
      <c r="F69" s="44"/>
    </row>
    <row r="70" spans="1:14" ht="17.25" thickBot="1">
      <c r="A70" s="27" t="s">
        <v>44</v>
      </c>
      <c r="B70" s="25"/>
      <c r="C70" s="26"/>
      <c r="D70" s="260">
        <v>0</v>
      </c>
      <c r="E70" s="48"/>
      <c r="F70" s="49"/>
      <c r="G70" s="43"/>
    </row>
    <row r="71" spans="1:14" ht="15.95" customHeight="1">
      <c r="A71" s="157" t="s">
        <v>149</v>
      </c>
      <c r="B71" s="96"/>
      <c r="C71" s="96"/>
      <c r="D71" s="259">
        <v>0.83330000000000004</v>
      </c>
      <c r="E71" s="47"/>
      <c r="F71" s="46"/>
    </row>
    <row r="72" spans="1:14">
      <c r="A72" s="95" t="s">
        <v>12</v>
      </c>
      <c r="B72" s="96"/>
      <c r="C72" s="96"/>
      <c r="D72" s="38"/>
      <c r="E72" s="38"/>
      <c r="F72" s="36"/>
    </row>
    <row r="73" spans="1:14" ht="17.25" thickBot="1">
      <c r="A73" s="155" t="s">
        <v>45</v>
      </c>
      <c r="B73" s="156"/>
      <c r="C73" s="156"/>
      <c r="D73" s="39"/>
      <c r="E73" s="39"/>
      <c r="F73" s="37"/>
    </row>
    <row r="74" spans="1:14" ht="17.25" thickBot="1">
      <c r="A74" s="51"/>
      <c r="B74" s="19"/>
      <c r="C74" s="19"/>
      <c r="D74" s="16"/>
      <c r="E74" s="16"/>
      <c r="F74" s="16"/>
      <c r="G74" s="16"/>
      <c r="H74" s="16"/>
      <c r="I74" s="16"/>
      <c r="J74" s="17"/>
      <c r="K74" s="16"/>
      <c r="L74" s="16"/>
      <c r="M74" s="16"/>
      <c r="N74" s="21"/>
    </row>
    <row r="75" spans="1:14" ht="17.25">
      <c r="A75" s="164" t="s">
        <v>23</v>
      </c>
      <c r="B75" s="165"/>
      <c r="C75" s="165"/>
      <c r="D75" s="165"/>
      <c r="E75" s="165"/>
      <c r="F75" s="165"/>
      <c r="G75" s="165"/>
      <c r="H75" s="165"/>
      <c r="I75" s="165"/>
      <c r="J75" s="165"/>
      <c r="K75" s="165"/>
      <c r="L75" s="166"/>
    </row>
    <row r="76" spans="1:14">
      <c r="A76" s="125" t="s">
        <v>46</v>
      </c>
      <c r="B76" s="126"/>
      <c r="C76" s="127"/>
      <c r="D76" s="167">
        <v>0</v>
      </c>
      <c r="E76" s="168"/>
      <c r="F76" s="168"/>
      <c r="G76" s="168"/>
      <c r="H76" s="168"/>
      <c r="I76" s="168"/>
      <c r="J76" s="168"/>
      <c r="K76" s="168"/>
      <c r="L76" s="169"/>
    </row>
    <row r="77" spans="1:14">
      <c r="A77" s="125" t="s">
        <v>47</v>
      </c>
      <c r="B77" s="126"/>
      <c r="C77" s="127"/>
      <c r="D77" s="167">
        <v>0</v>
      </c>
      <c r="E77" s="168"/>
      <c r="F77" s="168"/>
      <c r="G77" s="168"/>
      <c r="H77" s="168"/>
      <c r="I77" s="168"/>
      <c r="J77" s="168"/>
      <c r="K77" s="168"/>
      <c r="L77" s="169"/>
    </row>
    <row r="78" spans="1:14" ht="17.25" thickBot="1">
      <c r="A78" s="128" t="s">
        <v>48</v>
      </c>
      <c r="B78" s="129"/>
      <c r="C78" s="130"/>
      <c r="D78" s="158">
        <v>0</v>
      </c>
      <c r="E78" s="159"/>
      <c r="F78" s="159"/>
      <c r="G78" s="159"/>
      <c r="H78" s="159"/>
      <c r="I78" s="159"/>
      <c r="J78" s="159"/>
      <c r="K78" s="159"/>
      <c r="L78" s="160"/>
    </row>
    <row r="79" spans="1:14" ht="17.25" thickBot="1">
      <c r="A79" s="19"/>
      <c r="B79" s="19"/>
      <c r="C79" s="20"/>
      <c r="D79" s="16"/>
      <c r="E79" s="16"/>
      <c r="F79" s="16"/>
      <c r="G79" s="16"/>
      <c r="H79" s="16"/>
      <c r="I79" s="16"/>
      <c r="J79" s="17"/>
      <c r="K79" s="16"/>
      <c r="L79" s="16"/>
      <c r="M79" s="16"/>
    </row>
    <row r="80" spans="1:14" ht="18" thickBot="1">
      <c r="A80" s="143" t="s">
        <v>24</v>
      </c>
      <c r="B80" s="144"/>
      <c r="C80" s="144"/>
      <c r="D80" s="144"/>
      <c r="E80" s="144"/>
      <c r="F80" s="144"/>
      <c r="G80" s="144"/>
      <c r="H80" s="144"/>
      <c r="I80" s="144"/>
      <c r="J80" s="144"/>
      <c r="K80" s="144"/>
      <c r="L80" s="144"/>
      <c r="M80" s="145"/>
    </row>
    <row r="81" spans="1:13" ht="17.25" thickBot="1">
      <c r="A81" s="22" t="s">
        <v>3</v>
      </c>
      <c r="B81" s="22"/>
      <c r="C81" s="22"/>
      <c r="D81" s="22"/>
      <c r="E81" s="22"/>
      <c r="F81" s="22"/>
      <c r="G81" s="22"/>
      <c r="H81" s="22"/>
      <c r="I81" s="22"/>
      <c r="J81" s="22"/>
      <c r="K81" s="22"/>
      <c r="L81" s="22"/>
      <c r="M81" s="22"/>
    </row>
    <row r="82" spans="1:13" ht="17.25" thickBot="1">
      <c r="A82" s="110" t="s">
        <v>4</v>
      </c>
      <c r="B82" s="111"/>
      <c r="C82" s="112"/>
      <c r="D82" s="113" t="s">
        <v>178</v>
      </c>
      <c r="E82" s="114"/>
      <c r="F82" s="114"/>
      <c r="G82" s="114"/>
      <c r="H82" s="114"/>
      <c r="I82" s="114"/>
      <c r="J82" s="114"/>
      <c r="K82" s="114"/>
      <c r="L82" s="114"/>
      <c r="M82" s="115"/>
    </row>
    <row r="83" spans="1:13">
      <c r="A83" s="146" t="s">
        <v>214</v>
      </c>
      <c r="B83" s="147"/>
      <c r="C83" s="147"/>
      <c r="D83" s="147"/>
      <c r="E83" s="147"/>
      <c r="F83" s="147"/>
      <c r="G83" s="147"/>
      <c r="H83" s="147"/>
      <c r="I83" s="147"/>
      <c r="J83" s="147"/>
      <c r="K83" s="147"/>
      <c r="L83" s="147"/>
      <c r="M83" s="148"/>
    </row>
    <row r="84" spans="1:13">
      <c r="A84" s="149"/>
      <c r="B84" s="150"/>
      <c r="C84" s="150"/>
      <c r="D84" s="150"/>
      <c r="E84" s="150"/>
      <c r="F84" s="150"/>
      <c r="G84" s="150"/>
      <c r="H84" s="150"/>
      <c r="I84" s="150"/>
      <c r="J84" s="150"/>
      <c r="K84" s="150"/>
      <c r="L84" s="150"/>
      <c r="M84" s="151"/>
    </row>
    <row r="85" spans="1:13">
      <c r="A85" s="149"/>
      <c r="B85" s="150"/>
      <c r="C85" s="150"/>
      <c r="D85" s="150"/>
      <c r="E85" s="150"/>
      <c r="F85" s="150"/>
      <c r="G85" s="150"/>
      <c r="H85" s="150"/>
      <c r="I85" s="150"/>
      <c r="J85" s="150"/>
      <c r="K85" s="150"/>
      <c r="L85" s="150"/>
      <c r="M85" s="151"/>
    </row>
    <row r="86" spans="1:13">
      <c r="A86" s="149"/>
      <c r="B86" s="150"/>
      <c r="C86" s="150"/>
      <c r="D86" s="150"/>
      <c r="E86" s="150"/>
      <c r="F86" s="150"/>
      <c r="G86" s="150"/>
      <c r="H86" s="150"/>
      <c r="I86" s="150"/>
      <c r="J86" s="150"/>
      <c r="K86" s="150"/>
      <c r="L86" s="150"/>
      <c r="M86" s="151"/>
    </row>
    <row r="87" spans="1:13" ht="17.25" thickBot="1">
      <c r="A87" s="152"/>
      <c r="B87" s="153"/>
      <c r="C87" s="153"/>
      <c r="D87" s="153"/>
      <c r="E87" s="153"/>
      <c r="F87" s="153"/>
      <c r="G87" s="153"/>
      <c r="H87" s="153"/>
      <c r="I87" s="153"/>
      <c r="J87" s="153"/>
      <c r="K87" s="153"/>
      <c r="L87" s="153"/>
      <c r="M87" s="154"/>
    </row>
    <row r="89" spans="1:13" ht="17.25" thickBot="1">
      <c r="A89" s="1" t="s">
        <v>5</v>
      </c>
      <c r="B89" s="1"/>
      <c r="C89" s="1"/>
      <c r="D89" s="1"/>
      <c r="E89" s="1"/>
      <c r="F89" s="1"/>
      <c r="G89" s="1"/>
      <c r="H89" s="1"/>
      <c r="I89" s="1"/>
      <c r="J89" s="1"/>
      <c r="K89" s="1"/>
      <c r="L89" s="1"/>
      <c r="M89" s="1"/>
    </row>
    <row r="90" spans="1:13" ht="17.25" thickBot="1">
      <c r="A90" s="140" t="s">
        <v>4</v>
      </c>
      <c r="B90" s="141"/>
      <c r="C90" s="142"/>
      <c r="D90" s="113" t="s">
        <v>177</v>
      </c>
      <c r="E90" s="114"/>
      <c r="F90" s="114"/>
      <c r="G90" s="114"/>
      <c r="H90" s="114"/>
      <c r="I90" s="114"/>
      <c r="J90" s="114"/>
      <c r="K90" s="114"/>
      <c r="L90" s="114"/>
      <c r="M90" s="115"/>
    </row>
    <row r="91" spans="1:13">
      <c r="A91" s="131" t="s">
        <v>266</v>
      </c>
      <c r="B91" s="132"/>
      <c r="C91" s="132"/>
      <c r="D91" s="132"/>
      <c r="E91" s="132"/>
      <c r="F91" s="132"/>
      <c r="G91" s="132"/>
      <c r="H91" s="132"/>
      <c r="I91" s="132"/>
      <c r="J91" s="132"/>
      <c r="K91" s="132"/>
      <c r="L91" s="132"/>
      <c r="M91" s="133"/>
    </row>
    <row r="92" spans="1:13">
      <c r="A92" s="134"/>
      <c r="B92" s="135"/>
      <c r="C92" s="135"/>
      <c r="D92" s="135"/>
      <c r="E92" s="135"/>
      <c r="F92" s="135"/>
      <c r="G92" s="135"/>
      <c r="H92" s="135"/>
      <c r="I92" s="135"/>
      <c r="J92" s="135"/>
      <c r="K92" s="135"/>
      <c r="L92" s="135"/>
      <c r="M92" s="136"/>
    </row>
    <row r="93" spans="1:13">
      <c r="A93" s="134"/>
      <c r="B93" s="135"/>
      <c r="C93" s="135"/>
      <c r="D93" s="135"/>
      <c r="E93" s="135"/>
      <c r="F93" s="135"/>
      <c r="G93" s="135"/>
      <c r="H93" s="135"/>
      <c r="I93" s="135"/>
      <c r="J93" s="135"/>
      <c r="K93" s="135"/>
      <c r="L93" s="135"/>
      <c r="M93" s="136"/>
    </row>
    <row r="94" spans="1:13">
      <c r="A94" s="134"/>
      <c r="B94" s="135"/>
      <c r="C94" s="135"/>
      <c r="D94" s="135"/>
      <c r="E94" s="135"/>
      <c r="F94" s="135"/>
      <c r="G94" s="135"/>
      <c r="H94" s="135"/>
      <c r="I94" s="135"/>
      <c r="J94" s="135"/>
      <c r="K94" s="135"/>
      <c r="L94" s="135"/>
      <c r="M94" s="136"/>
    </row>
    <row r="95" spans="1:13" ht="17.25" thickBot="1">
      <c r="A95" s="137"/>
      <c r="B95" s="138"/>
      <c r="C95" s="138"/>
      <c r="D95" s="138"/>
      <c r="E95" s="138"/>
      <c r="F95" s="138"/>
      <c r="G95" s="138"/>
      <c r="H95" s="138"/>
      <c r="I95" s="138"/>
      <c r="J95" s="138"/>
      <c r="K95" s="138"/>
      <c r="L95" s="138"/>
      <c r="M95" s="139"/>
    </row>
    <row r="97" spans="1:13" ht="17.25" thickBot="1">
      <c r="A97" s="1" t="s">
        <v>13</v>
      </c>
      <c r="B97" s="1"/>
      <c r="C97" s="1"/>
      <c r="D97" s="1"/>
      <c r="E97" s="1"/>
      <c r="F97" s="1"/>
      <c r="G97" s="1"/>
      <c r="H97" s="1"/>
      <c r="I97" s="1"/>
      <c r="J97" s="1"/>
      <c r="K97" s="1"/>
      <c r="L97" s="1"/>
      <c r="M97" s="1"/>
    </row>
    <row r="98" spans="1:13" ht="17.25" thickBot="1">
      <c r="A98" s="110" t="s">
        <v>4</v>
      </c>
      <c r="B98" s="111"/>
      <c r="C98" s="112"/>
      <c r="D98" s="113" t="s">
        <v>7</v>
      </c>
      <c r="E98" s="114"/>
      <c r="F98" s="114"/>
      <c r="G98" s="114"/>
      <c r="H98" s="114"/>
      <c r="I98" s="114"/>
      <c r="J98" s="114"/>
      <c r="K98" s="114"/>
      <c r="L98" s="114"/>
      <c r="M98" s="115"/>
    </row>
    <row r="99" spans="1:13">
      <c r="A99" s="116"/>
      <c r="B99" s="117"/>
      <c r="C99" s="117"/>
      <c r="D99" s="117"/>
      <c r="E99" s="117"/>
      <c r="F99" s="117"/>
      <c r="G99" s="117"/>
      <c r="H99" s="117"/>
      <c r="I99" s="117"/>
      <c r="J99" s="117"/>
      <c r="K99" s="117"/>
      <c r="L99" s="117"/>
      <c r="M99" s="118"/>
    </row>
    <row r="100" spans="1:13">
      <c r="A100" s="119"/>
      <c r="B100" s="120"/>
      <c r="C100" s="120"/>
      <c r="D100" s="120"/>
      <c r="E100" s="120"/>
      <c r="F100" s="120"/>
      <c r="G100" s="120"/>
      <c r="H100" s="120"/>
      <c r="I100" s="120"/>
      <c r="J100" s="120"/>
      <c r="K100" s="120"/>
      <c r="L100" s="120"/>
      <c r="M100" s="121"/>
    </row>
    <row r="101" spans="1:13">
      <c r="A101" s="119"/>
      <c r="B101" s="120"/>
      <c r="C101" s="120"/>
      <c r="D101" s="120"/>
      <c r="E101" s="120"/>
      <c r="F101" s="120"/>
      <c r="G101" s="120"/>
      <c r="H101" s="120"/>
      <c r="I101" s="120"/>
      <c r="J101" s="120"/>
      <c r="K101" s="120"/>
      <c r="L101" s="120"/>
      <c r="M101" s="121"/>
    </row>
    <row r="102" spans="1:13">
      <c r="A102" s="119"/>
      <c r="B102" s="120"/>
      <c r="C102" s="120"/>
      <c r="D102" s="120"/>
      <c r="E102" s="120"/>
      <c r="F102" s="120"/>
      <c r="G102" s="120"/>
      <c r="H102" s="120"/>
      <c r="I102" s="120"/>
      <c r="J102" s="120"/>
      <c r="K102" s="120"/>
      <c r="L102" s="120"/>
      <c r="M102" s="121"/>
    </row>
    <row r="103" spans="1:13" ht="17.25" thickBot="1">
      <c r="A103" s="122"/>
      <c r="B103" s="123"/>
      <c r="C103" s="123"/>
      <c r="D103" s="123"/>
      <c r="E103" s="123"/>
      <c r="F103" s="123"/>
      <c r="G103" s="123"/>
      <c r="H103" s="123"/>
      <c r="I103" s="123"/>
      <c r="J103" s="123"/>
      <c r="K103" s="123"/>
      <c r="L103" s="123"/>
      <c r="M103" s="124"/>
    </row>
  </sheetData>
  <mergeCells count="109">
    <mergeCell ref="D36:M36"/>
    <mergeCell ref="D37:M37"/>
    <mergeCell ref="D35:M35"/>
    <mergeCell ref="A2:M3"/>
    <mergeCell ref="A5:M12"/>
    <mergeCell ref="A19:C19"/>
    <mergeCell ref="D19:M19"/>
    <mergeCell ref="A20:C20"/>
    <mergeCell ref="D20:M20"/>
    <mergeCell ref="B14:C14"/>
    <mergeCell ref="B15:C15"/>
    <mergeCell ref="A17:M17"/>
    <mergeCell ref="A18:C18"/>
    <mergeCell ref="D18:M18"/>
    <mergeCell ref="D76:L76"/>
    <mergeCell ref="D77:L77"/>
    <mergeCell ref="A69:C69"/>
    <mergeCell ref="A68:C68"/>
    <mergeCell ref="A72:C72"/>
    <mergeCell ref="A58:F58"/>
    <mergeCell ref="A65:C65"/>
    <mergeCell ref="A64:C64"/>
    <mergeCell ref="A61:C61"/>
    <mergeCell ref="A62:C62"/>
    <mergeCell ref="A60:C60"/>
    <mergeCell ref="A59:C59"/>
    <mergeCell ref="A63:C63"/>
    <mergeCell ref="D21:M21"/>
    <mergeCell ref="A23:C23"/>
    <mergeCell ref="D23:M23"/>
    <mergeCell ref="A24:C24"/>
    <mergeCell ref="D24:M24"/>
    <mergeCell ref="A22:C22"/>
    <mergeCell ref="D22:M22"/>
    <mergeCell ref="A21:C21"/>
    <mergeCell ref="A28:C28"/>
    <mergeCell ref="D28:M28"/>
    <mergeCell ref="D25:M25"/>
    <mergeCell ref="A26:C26"/>
    <mergeCell ref="D26:M26"/>
    <mergeCell ref="A27:C27"/>
    <mergeCell ref="D27:M27"/>
    <mergeCell ref="A25:C25"/>
    <mergeCell ref="A43:M43"/>
    <mergeCell ref="A44:C44"/>
    <mergeCell ref="D44:M44"/>
    <mergeCell ref="A45:C45"/>
    <mergeCell ref="D45:M45"/>
    <mergeCell ref="A98:C98"/>
    <mergeCell ref="D98:M98"/>
    <mergeCell ref="A99:M103"/>
    <mergeCell ref="A76:C76"/>
    <mergeCell ref="A77:C77"/>
    <mergeCell ref="A78:C78"/>
    <mergeCell ref="A91:M95"/>
    <mergeCell ref="A90:C90"/>
    <mergeCell ref="D90:M90"/>
    <mergeCell ref="A80:M80"/>
    <mergeCell ref="A82:C82"/>
    <mergeCell ref="D82:M82"/>
    <mergeCell ref="A83:M87"/>
    <mergeCell ref="A73:C73"/>
    <mergeCell ref="A71:C71"/>
    <mergeCell ref="D78:L78"/>
    <mergeCell ref="A67:C67"/>
    <mergeCell ref="A66:C66"/>
    <mergeCell ref="A75:L75"/>
    <mergeCell ref="A49:C49"/>
    <mergeCell ref="D49:M49"/>
    <mergeCell ref="A50:C50"/>
    <mergeCell ref="D50:M50"/>
    <mergeCell ref="A51:C51"/>
    <mergeCell ref="D51:M51"/>
    <mergeCell ref="A46:C46"/>
    <mergeCell ref="D46:M46"/>
    <mergeCell ref="A47:C47"/>
    <mergeCell ref="D47:M47"/>
    <mergeCell ref="A48:C48"/>
    <mergeCell ref="D48:M48"/>
    <mergeCell ref="A55:C55"/>
    <mergeCell ref="D55:M55"/>
    <mergeCell ref="A56:C56"/>
    <mergeCell ref="D56:M56"/>
    <mergeCell ref="A52:C52"/>
    <mergeCell ref="D52:M52"/>
    <mergeCell ref="A53:C53"/>
    <mergeCell ref="D53:M53"/>
    <mergeCell ref="A54:C54"/>
    <mergeCell ref="D54:M54"/>
    <mergeCell ref="A33:C33"/>
    <mergeCell ref="A34:C34"/>
    <mergeCell ref="A35:C35"/>
    <mergeCell ref="A30:M30"/>
    <mergeCell ref="A31:C31"/>
    <mergeCell ref="A32:C32"/>
    <mergeCell ref="D32:M32"/>
    <mergeCell ref="D33:M33"/>
    <mergeCell ref="D31:M31"/>
    <mergeCell ref="D34:M34"/>
    <mergeCell ref="A39:C39"/>
    <mergeCell ref="A40:C40"/>
    <mergeCell ref="A41:C41"/>
    <mergeCell ref="A36:C36"/>
    <mergeCell ref="A37:C37"/>
    <mergeCell ref="A38:C38"/>
    <mergeCell ref="D41:M41"/>
    <mergeCell ref="D38:M38"/>
    <mergeCell ref="D39:M39"/>
    <mergeCell ref="D40:M40"/>
  </mergeCells>
  <phoneticPr fontId="2" type="noConversion"/>
  <hyperlinks>
    <hyperlink ref="B15" r:id="rId1" xr:uid="{D739B525-3616-4BCE-B4A1-23624AF9006F}"/>
  </hyperlinks>
  <pageMargins left="0.7" right="0.7" top="0.75" bottom="0.75" header="0.3" footer="0.3"/>
  <pageSetup paperSize="9" scale="47" fitToWidth="0" orientation="portrait"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A4C49-8D9D-48F4-BCB2-145AC9C863B3}">
  <sheetPr>
    <tabColor rgb="FFFFFF00"/>
    <pageSetUpPr fitToPage="1"/>
  </sheetPr>
  <dimension ref="A1:BR28"/>
  <sheetViews>
    <sheetView tabSelected="1" zoomScale="85" zoomScaleNormal="85" workbookViewId="0">
      <pane xSplit="1" topLeftCell="B1" activePane="topRight" state="frozen"/>
      <selection pane="topRight" activeCell="I10" sqref="I10"/>
    </sheetView>
  </sheetViews>
  <sheetFormatPr defaultRowHeight="16.5"/>
  <cols>
    <col min="1" max="1" width="10.625" style="214" customWidth="1"/>
    <col min="2" max="2" width="15" style="214" bestFit="1" customWidth="1"/>
    <col min="3" max="3" width="25.5" style="214" bestFit="1" customWidth="1"/>
    <col min="4" max="4" width="23.25" style="214" bestFit="1" customWidth="1"/>
    <col min="5" max="5" width="15" style="214" bestFit="1" customWidth="1"/>
    <col min="6" max="7" width="10.625" style="202" customWidth="1"/>
    <col min="8" max="8" width="72.5" style="202" bestFit="1" customWidth="1"/>
    <col min="9" max="9" width="63" style="214" bestFit="1" customWidth="1"/>
    <col min="10" max="10" width="11.625" style="214" bestFit="1" customWidth="1"/>
    <col min="11" max="11" width="14" style="214" bestFit="1" customWidth="1"/>
    <col min="12" max="12" width="16.625" style="214" bestFit="1" customWidth="1"/>
    <col min="13" max="13" width="10.625" style="214" customWidth="1"/>
    <col min="14" max="14" width="13" style="214" bestFit="1" customWidth="1"/>
    <col min="15" max="16" width="10.625" style="214" customWidth="1"/>
    <col min="17" max="17" width="10.625" style="202" customWidth="1"/>
    <col min="18" max="27" width="10.625" style="214" customWidth="1"/>
    <col min="28" max="29" width="13.375" style="214" bestFit="1" customWidth="1"/>
    <col min="30" max="31" width="10.625" style="214" customWidth="1"/>
    <col min="32" max="33" width="13.375" style="214" bestFit="1" customWidth="1"/>
    <col min="34" max="34" width="10.625" style="214" customWidth="1"/>
    <col min="35" max="35" width="15" style="214" bestFit="1" customWidth="1"/>
    <col min="36" max="36" width="15.375" style="214" customWidth="1"/>
    <col min="37" max="37" width="17.5" style="214" customWidth="1"/>
    <col min="38" max="38" width="10.625" style="202" customWidth="1"/>
    <col min="39" max="44" width="10.625" style="214" customWidth="1"/>
    <col min="45" max="46" width="15.5" style="214" bestFit="1" customWidth="1"/>
    <col min="47" max="49" width="14.5" bestFit="1" customWidth="1"/>
    <col min="50" max="50" width="14.375" bestFit="1" customWidth="1"/>
    <col min="51" max="53" width="10.625" customWidth="1"/>
    <col min="54" max="54" width="15.375" customWidth="1"/>
    <col min="55" max="70" width="10.625" customWidth="1"/>
  </cols>
  <sheetData>
    <row r="1" spans="1:70" ht="17.25" thickBot="1"/>
    <row r="2" spans="1:70" ht="17.25" customHeight="1">
      <c r="A2" s="261" t="s">
        <v>164</v>
      </c>
      <c r="B2" s="262"/>
      <c r="C2" s="262"/>
      <c r="D2" s="262"/>
      <c r="E2" s="262"/>
      <c r="F2" s="262"/>
      <c r="G2" s="250"/>
      <c r="H2" s="262"/>
      <c r="I2" s="262"/>
      <c r="J2" s="262"/>
      <c r="K2" s="262"/>
      <c r="L2" s="262"/>
      <c r="M2" s="262"/>
      <c r="N2" s="262"/>
      <c r="O2" s="263"/>
    </row>
    <row r="3" spans="1:70" ht="17.25" customHeight="1" thickBot="1">
      <c r="A3" s="264"/>
      <c r="B3" s="265"/>
      <c r="C3" s="265"/>
      <c r="D3" s="265"/>
      <c r="E3" s="265"/>
      <c r="F3" s="265"/>
      <c r="G3" s="251"/>
      <c r="H3" s="265"/>
      <c r="I3" s="265"/>
      <c r="J3" s="265"/>
      <c r="K3" s="265"/>
      <c r="L3" s="265"/>
      <c r="M3" s="265"/>
      <c r="N3" s="265"/>
      <c r="O3" s="266"/>
    </row>
    <row r="4" spans="1:70" ht="11.25" customHeight="1">
      <c r="A4" s="215" t="s">
        <v>0</v>
      </c>
      <c r="B4" s="215"/>
      <c r="C4" s="215"/>
      <c r="D4" s="215"/>
      <c r="E4" s="215"/>
      <c r="F4" s="254"/>
      <c r="G4" s="254"/>
      <c r="H4" s="254"/>
      <c r="I4" s="215"/>
      <c r="J4" s="215"/>
      <c r="K4" s="215"/>
      <c r="L4" s="215"/>
      <c r="M4" s="215"/>
    </row>
    <row r="5" spans="1:70" ht="17.25">
      <c r="A5" s="267" t="s">
        <v>51</v>
      </c>
      <c r="B5" s="267"/>
      <c r="C5" s="267"/>
      <c r="D5" s="267"/>
      <c r="E5" s="267"/>
      <c r="F5" s="267"/>
      <c r="G5" s="271"/>
      <c r="H5" s="267"/>
      <c r="I5" s="267"/>
      <c r="J5" s="267"/>
      <c r="K5" s="267"/>
      <c r="L5" s="267"/>
      <c r="M5" s="267"/>
      <c r="N5" s="267"/>
      <c r="O5" s="267"/>
      <c r="P5" s="267"/>
      <c r="Q5" s="267"/>
      <c r="R5" s="267"/>
      <c r="S5" s="267"/>
      <c r="T5" s="267"/>
      <c r="U5" s="267"/>
      <c r="V5" s="267"/>
      <c r="W5" s="267"/>
      <c r="X5" s="267"/>
      <c r="Y5" s="267"/>
      <c r="Z5" s="267"/>
      <c r="AA5" s="267"/>
      <c r="AB5" s="267"/>
      <c r="AC5" s="267"/>
      <c r="AD5" s="267"/>
      <c r="AE5" s="267"/>
      <c r="AF5" s="267"/>
      <c r="AG5" s="267"/>
      <c r="AH5" s="267"/>
      <c r="AI5" s="267"/>
      <c r="AJ5" s="267"/>
      <c r="AK5" s="267"/>
      <c r="AL5" s="267"/>
      <c r="AM5" s="267"/>
      <c r="AN5" s="267"/>
      <c r="AO5" s="267"/>
      <c r="AP5" s="267"/>
      <c r="AQ5" s="267"/>
      <c r="AR5" s="267"/>
      <c r="AS5" s="267"/>
      <c r="AT5" s="267"/>
      <c r="AU5" s="71" t="s">
        <v>25</v>
      </c>
      <c r="AV5" s="72"/>
      <c r="AW5" s="72"/>
      <c r="AX5" s="72"/>
      <c r="AY5" s="72"/>
      <c r="AZ5" s="72"/>
      <c r="BA5" s="72"/>
      <c r="BB5" s="72"/>
      <c r="BC5" s="72"/>
      <c r="BD5" s="72"/>
      <c r="BE5" s="72"/>
      <c r="BF5" s="72"/>
      <c r="BG5" s="72"/>
      <c r="BH5" s="72"/>
      <c r="BI5" s="72"/>
      <c r="BJ5" s="72"/>
      <c r="BK5" s="72"/>
      <c r="BL5" s="72"/>
      <c r="BM5" s="72"/>
      <c r="BN5" s="72"/>
      <c r="BO5" s="72"/>
      <c r="BP5" s="72"/>
      <c r="BQ5" s="72"/>
      <c r="BR5" s="72"/>
    </row>
    <row r="6" spans="1:70" s="35" customFormat="1" ht="16.5" customHeight="1">
      <c r="A6" s="268" t="s">
        <v>131</v>
      </c>
      <c r="B6" s="270" t="s">
        <v>132</v>
      </c>
      <c r="C6" s="270" t="s">
        <v>133</v>
      </c>
      <c r="D6" s="270" t="s">
        <v>134</v>
      </c>
      <c r="E6" s="270" t="s">
        <v>135</v>
      </c>
      <c r="F6" s="230" t="s">
        <v>69</v>
      </c>
      <c r="G6" s="231" t="s">
        <v>70</v>
      </c>
      <c r="H6" s="230" t="s">
        <v>71</v>
      </c>
      <c r="I6" s="231" t="s">
        <v>72</v>
      </c>
      <c r="J6" s="230" t="s">
        <v>73</v>
      </c>
      <c r="K6" s="230" t="s">
        <v>74</v>
      </c>
      <c r="L6" s="230" t="s">
        <v>75</v>
      </c>
      <c r="M6" s="235" t="s">
        <v>76</v>
      </c>
      <c r="N6" s="235" t="s">
        <v>77</v>
      </c>
      <c r="O6" s="235" t="s">
        <v>78</v>
      </c>
      <c r="P6" s="235" t="s">
        <v>79</v>
      </c>
      <c r="Q6" s="235" t="s">
        <v>80</v>
      </c>
      <c r="R6" s="232" t="s">
        <v>81</v>
      </c>
      <c r="S6" s="232" t="s">
        <v>82</v>
      </c>
      <c r="T6" s="232" t="s">
        <v>83</v>
      </c>
      <c r="U6" s="232" t="s">
        <v>84</v>
      </c>
      <c r="V6" s="232" t="s">
        <v>85</v>
      </c>
      <c r="W6" s="232" t="s">
        <v>86</v>
      </c>
      <c r="X6" s="232" t="s">
        <v>87</v>
      </c>
      <c r="Y6" s="232" t="s">
        <v>88</v>
      </c>
      <c r="Z6" s="232" t="s">
        <v>89</v>
      </c>
      <c r="AA6" s="232" t="s">
        <v>90</v>
      </c>
      <c r="AB6" s="233" t="s">
        <v>91</v>
      </c>
      <c r="AC6" s="233" t="s">
        <v>92</v>
      </c>
      <c r="AD6" s="233" t="s">
        <v>93</v>
      </c>
      <c r="AE6" s="233" t="s">
        <v>94</v>
      </c>
      <c r="AF6" s="233" t="s">
        <v>95</v>
      </c>
      <c r="AG6" s="233" t="s">
        <v>96</v>
      </c>
      <c r="AH6" s="233" t="s">
        <v>97</v>
      </c>
      <c r="AI6" s="233" t="s">
        <v>98</v>
      </c>
      <c r="AJ6" s="233" t="s">
        <v>99</v>
      </c>
      <c r="AK6" s="233" t="s">
        <v>100</v>
      </c>
      <c r="AL6" s="234" t="s">
        <v>101</v>
      </c>
      <c r="AM6" s="234" t="s">
        <v>102</v>
      </c>
      <c r="AN6" s="234" t="s">
        <v>103</v>
      </c>
      <c r="AO6" s="239" t="s">
        <v>104</v>
      </c>
      <c r="AP6" s="239" t="s">
        <v>142</v>
      </c>
      <c r="AQ6" s="237" t="s">
        <v>105</v>
      </c>
      <c r="AR6" s="237" t="s">
        <v>105</v>
      </c>
      <c r="AS6" s="237" t="s">
        <v>106</v>
      </c>
      <c r="AT6" s="237" t="s">
        <v>107</v>
      </c>
      <c r="AU6" s="68" t="s">
        <v>66</v>
      </c>
      <c r="AV6" s="68"/>
      <c r="AW6" s="68"/>
      <c r="AX6" s="68"/>
      <c r="AY6" s="68"/>
      <c r="AZ6" s="68"/>
      <c r="BA6" s="68"/>
      <c r="BB6" s="68"/>
      <c r="BC6" s="69" t="s">
        <v>67</v>
      </c>
      <c r="BD6" s="69"/>
      <c r="BE6" s="69"/>
      <c r="BF6" s="69"/>
      <c r="BG6" s="69"/>
      <c r="BH6" s="69"/>
      <c r="BI6" s="69"/>
      <c r="BJ6" s="69"/>
      <c r="BK6" s="70" t="s">
        <v>68</v>
      </c>
      <c r="BL6" s="70"/>
      <c r="BM6" s="70"/>
      <c r="BN6" s="70"/>
      <c r="BO6" s="70"/>
      <c r="BP6" s="70"/>
      <c r="BQ6" s="70"/>
      <c r="BR6" s="70"/>
    </row>
    <row r="7" spans="1:70" s="34" customFormat="1" ht="81">
      <c r="A7" s="269"/>
      <c r="B7" s="270"/>
      <c r="C7" s="270"/>
      <c r="D7" s="270"/>
      <c r="E7" s="270"/>
      <c r="F7" s="225" t="s">
        <v>52</v>
      </c>
      <c r="G7" s="226" t="s">
        <v>53</v>
      </c>
      <c r="H7" s="225" t="s">
        <v>54</v>
      </c>
      <c r="I7" s="226" t="s">
        <v>55</v>
      </c>
      <c r="J7" s="225" t="s">
        <v>56</v>
      </c>
      <c r="K7" s="225" t="s">
        <v>108</v>
      </c>
      <c r="L7" s="225" t="s">
        <v>109</v>
      </c>
      <c r="M7" s="236" t="s">
        <v>57</v>
      </c>
      <c r="N7" s="236" t="s">
        <v>58</v>
      </c>
      <c r="O7" s="236" t="s">
        <v>138</v>
      </c>
      <c r="P7" s="236" t="s">
        <v>59</v>
      </c>
      <c r="Q7" s="236" t="s">
        <v>60</v>
      </c>
      <c r="R7" s="227" t="s">
        <v>111</v>
      </c>
      <c r="S7" s="227" t="s">
        <v>112</v>
      </c>
      <c r="T7" s="227" t="s">
        <v>113</v>
      </c>
      <c r="U7" s="227" t="s">
        <v>143</v>
      </c>
      <c r="V7" s="227" t="s">
        <v>144</v>
      </c>
      <c r="W7" s="227" t="s">
        <v>114</v>
      </c>
      <c r="X7" s="227" t="s">
        <v>115</v>
      </c>
      <c r="Y7" s="227" t="s">
        <v>116</v>
      </c>
      <c r="Z7" s="227" t="s">
        <v>117</v>
      </c>
      <c r="AA7" s="227" t="s">
        <v>118</v>
      </c>
      <c r="AB7" s="228" t="s">
        <v>61</v>
      </c>
      <c r="AC7" s="228" t="s">
        <v>62</v>
      </c>
      <c r="AD7" s="228" t="s">
        <v>119</v>
      </c>
      <c r="AE7" s="228" t="s">
        <v>120</v>
      </c>
      <c r="AF7" s="228" t="s">
        <v>63</v>
      </c>
      <c r="AG7" s="228" t="s">
        <v>121</v>
      </c>
      <c r="AH7" s="228" t="s">
        <v>122</v>
      </c>
      <c r="AI7" s="228" t="s">
        <v>123</v>
      </c>
      <c r="AJ7" s="228" t="s">
        <v>124</v>
      </c>
      <c r="AK7" s="228" t="s">
        <v>125</v>
      </c>
      <c r="AL7" s="229" t="s">
        <v>126</v>
      </c>
      <c r="AM7" s="229" t="s">
        <v>110</v>
      </c>
      <c r="AN7" s="229" t="s">
        <v>64</v>
      </c>
      <c r="AO7" s="229" t="s">
        <v>65</v>
      </c>
      <c r="AP7" s="229" t="s">
        <v>148</v>
      </c>
      <c r="AQ7" s="238" t="s">
        <v>127</v>
      </c>
      <c r="AR7" s="238" t="s">
        <v>128</v>
      </c>
      <c r="AS7" s="238" t="s">
        <v>129</v>
      </c>
      <c r="AT7" s="238" t="s">
        <v>130</v>
      </c>
      <c r="AU7" s="32" t="s">
        <v>15</v>
      </c>
      <c r="AV7" s="32" t="s">
        <v>14</v>
      </c>
      <c r="AW7" s="32" t="s">
        <v>16</v>
      </c>
      <c r="AX7" s="32" t="s">
        <v>17</v>
      </c>
      <c r="AY7" s="32" t="s">
        <v>18</v>
      </c>
      <c r="AZ7" s="32" t="s">
        <v>19</v>
      </c>
      <c r="BA7" s="32" t="s">
        <v>20</v>
      </c>
      <c r="BB7" s="32" t="s">
        <v>11</v>
      </c>
      <c r="BC7" s="31" t="s">
        <v>15</v>
      </c>
      <c r="BD7" s="31" t="s">
        <v>14</v>
      </c>
      <c r="BE7" s="31" t="s">
        <v>16</v>
      </c>
      <c r="BF7" s="31" t="s">
        <v>17</v>
      </c>
      <c r="BG7" s="31" t="s">
        <v>18</v>
      </c>
      <c r="BH7" s="31" t="s">
        <v>19</v>
      </c>
      <c r="BI7" s="31" t="s">
        <v>20</v>
      </c>
      <c r="BJ7" s="31" t="s">
        <v>11</v>
      </c>
      <c r="BK7" s="33" t="s">
        <v>15</v>
      </c>
      <c r="BL7" s="33" t="s">
        <v>14</v>
      </c>
      <c r="BM7" s="33" t="s">
        <v>16</v>
      </c>
      <c r="BN7" s="33" t="s">
        <v>17</v>
      </c>
      <c r="BO7" s="33" t="s">
        <v>18</v>
      </c>
      <c r="BP7" s="33" t="s">
        <v>19</v>
      </c>
      <c r="BQ7" s="33" t="s">
        <v>20</v>
      </c>
      <c r="BR7" s="33" t="s">
        <v>11</v>
      </c>
    </row>
    <row r="8" spans="1:70">
      <c r="A8" s="224">
        <v>1</v>
      </c>
      <c r="B8" s="240" t="s">
        <v>223</v>
      </c>
      <c r="C8" s="240" t="s">
        <v>224</v>
      </c>
      <c r="D8" s="240" t="s">
        <v>225</v>
      </c>
      <c r="E8" s="249" t="s">
        <v>226</v>
      </c>
      <c r="F8" s="240" t="s">
        <v>227</v>
      </c>
      <c r="G8" s="240" t="s">
        <v>228</v>
      </c>
      <c r="H8" s="243" t="s">
        <v>229</v>
      </c>
      <c r="I8" s="243" t="s">
        <v>230</v>
      </c>
      <c r="J8" s="244">
        <v>44356</v>
      </c>
      <c r="K8" s="240" t="s">
        <v>231</v>
      </c>
      <c r="L8" s="240" t="s">
        <v>232</v>
      </c>
      <c r="M8" s="61">
        <v>3</v>
      </c>
      <c r="N8" s="61" t="s">
        <v>233</v>
      </c>
      <c r="O8" s="240" t="s">
        <v>234</v>
      </c>
      <c r="P8" s="61" t="s">
        <v>192</v>
      </c>
      <c r="Q8" s="61" t="s">
        <v>193</v>
      </c>
      <c r="R8" s="61" t="s">
        <v>194</v>
      </c>
      <c r="S8" s="61" t="s">
        <v>194</v>
      </c>
      <c r="T8" s="245" t="s">
        <v>235</v>
      </c>
      <c r="U8" s="246" t="s">
        <v>236</v>
      </c>
      <c r="V8" s="246" t="s">
        <v>236</v>
      </c>
      <c r="W8" s="245" t="s">
        <v>235</v>
      </c>
      <c r="X8" s="240" t="s">
        <v>237</v>
      </c>
      <c r="Y8" s="246" t="s">
        <v>238</v>
      </c>
      <c r="Z8" s="245" t="s">
        <v>235</v>
      </c>
      <c r="AA8" s="245" t="s">
        <v>235</v>
      </c>
      <c r="AB8" s="245">
        <v>300150000</v>
      </c>
      <c r="AC8" s="245" t="s">
        <v>235</v>
      </c>
      <c r="AD8" s="245" t="s">
        <v>235</v>
      </c>
      <c r="AE8" s="245" t="s">
        <v>235</v>
      </c>
      <c r="AF8" s="245">
        <v>300150000</v>
      </c>
      <c r="AG8" s="245">
        <v>300150000</v>
      </c>
      <c r="AH8" s="246">
        <v>1</v>
      </c>
      <c r="AI8" s="245">
        <v>17457420000</v>
      </c>
      <c r="AJ8" s="241">
        <v>50562750000</v>
      </c>
      <c r="AK8" s="240" t="s">
        <v>239</v>
      </c>
      <c r="AL8" s="61" t="s">
        <v>197</v>
      </c>
      <c r="AM8" s="247">
        <v>0</v>
      </c>
      <c r="AN8" s="247">
        <v>0</v>
      </c>
      <c r="AO8" s="247">
        <v>0</v>
      </c>
      <c r="AP8" s="247">
        <v>0</v>
      </c>
      <c r="AQ8" s="240">
        <v>8</v>
      </c>
      <c r="AR8" s="240">
        <v>8</v>
      </c>
      <c r="AS8" s="247">
        <v>15001875000</v>
      </c>
      <c r="AT8" s="247">
        <v>15001875000</v>
      </c>
      <c r="AU8" s="206">
        <v>44389239</v>
      </c>
      <c r="AV8" s="207">
        <v>57499244</v>
      </c>
      <c r="AW8" s="208">
        <v>46709091</v>
      </c>
      <c r="AX8" s="209">
        <v>0</v>
      </c>
      <c r="AY8" s="209">
        <v>0</v>
      </c>
      <c r="AZ8" s="209">
        <v>0</v>
      </c>
      <c r="BA8" s="209">
        <v>0</v>
      </c>
      <c r="BB8" s="206">
        <f>SUM(AU8:BA8)</f>
        <v>148597574</v>
      </c>
      <c r="BC8" s="63">
        <v>14</v>
      </c>
      <c r="BD8" s="63">
        <v>13</v>
      </c>
      <c r="BE8" s="63">
        <v>21</v>
      </c>
      <c r="BF8" s="252">
        <v>0</v>
      </c>
      <c r="BG8" s="209">
        <v>0</v>
      </c>
      <c r="BH8" s="209">
        <v>0</v>
      </c>
      <c r="BI8" s="209">
        <v>0</v>
      </c>
      <c r="BJ8" s="206">
        <f>SUM(BC8:BI8)</f>
        <v>48</v>
      </c>
      <c r="BK8" s="206"/>
      <c r="BL8" s="206"/>
      <c r="BM8" s="206"/>
      <c r="BN8" s="206"/>
      <c r="BO8" s="206"/>
      <c r="BP8" s="206"/>
      <c r="BQ8" s="206"/>
      <c r="BR8" s="205"/>
    </row>
    <row r="9" spans="1:70">
      <c r="A9" s="224">
        <v>2</v>
      </c>
      <c r="B9" s="240" t="s">
        <v>240</v>
      </c>
      <c r="C9" s="249" t="s">
        <v>241</v>
      </c>
      <c r="D9" s="240" t="s">
        <v>242</v>
      </c>
      <c r="E9" s="249" t="s">
        <v>243</v>
      </c>
      <c r="F9" s="240" t="s">
        <v>244</v>
      </c>
      <c r="G9" s="240" t="s">
        <v>245</v>
      </c>
      <c r="H9" s="243" t="s">
        <v>246</v>
      </c>
      <c r="I9" s="248" t="s">
        <v>247</v>
      </c>
      <c r="J9" s="244">
        <v>43837</v>
      </c>
      <c r="K9" s="240" t="s">
        <v>248</v>
      </c>
      <c r="L9" s="240" t="s">
        <v>249</v>
      </c>
      <c r="M9" s="61">
        <v>3</v>
      </c>
      <c r="N9" s="61" t="s">
        <v>233</v>
      </c>
      <c r="O9" s="240" t="s">
        <v>250</v>
      </c>
      <c r="P9" s="61" t="s">
        <v>251</v>
      </c>
      <c r="Q9" s="61" t="s">
        <v>193</v>
      </c>
      <c r="R9" s="61" t="s">
        <v>194</v>
      </c>
      <c r="S9" s="61" t="s">
        <v>194</v>
      </c>
      <c r="T9" s="245" t="s">
        <v>235</v>
      </c>
      <c r="U9" s="245" t="s">
        <v>235</v>
      </c>
      <c r="V9" s="245" t="s">
        <v>235</v>
      </c>
      <c r="W9" s="245" t="s">
        <v>235</v>
      </c>
      <c r="X9" s="240" t="s">
        <v>195</v>
      </c>
      <c r="Y9" s="245" t="s">
        <v>235</v>
      </c>
      <c r="Z9" s="240" t="s">
        <v>195</v>
      </c>
      <c r="AA9" s="245" t="s">
        <v>235</v>
      </c>
      <c r="AB9" s="245">
        <v>150419400</v>
      </c>
      <c r="AC9" s="245" t="s">
        <v>235</v>
      </c>
      <c r="AD9" s="245" t="s">
        <v>235</v>
      </c>
      <c r="AE9" s="245" t="s">
        <v>235</v>
      </c>
      <c r="AF9" s="245">
        <v>150419400</v>
      </c>
      <c r="AG9" s="245">
        <v>150419400</v>
      </c>
      <c r="AH9" s="246">
        <v>1</v>
      </c>
      <c r="AI9" s="245">
        <v>16885683675</v>
      </c>
      <c r="AJ9" s="241">
        <v>79000456884</v>
      </c>
      <c r="AK9" s="240" t="s">
        <v>239</v>
      </c>
      <c r="AL9" s="61" t="s">
        <v>252</v>
      </c>
      <c r="AM9" s="247"/>
      <c r="AN9" s="247" t="s">
        <v>253</v>
      </c>
      <c r="AO9" s="247"/>
      <c r="AP9" s="247"/>
      <c r="AQ9" s="240">
        <v>14</v>
      </c>
      <c r="AR9" s="240">
        <v>8</v>
      </c>
      <c r="AS9" s="247">
        <v>18153068234</v>
      </c>
      <c r="AT9" s="247">
        <v>14050294514</v>
      </c>
      <c r="AU9" s="211">
        <v>1092808894</v>
      </c>
      <c r="AV9" s="212">
        <v>5103492098</v>
      </c>
      <c r="AW9" s="211">
        <v>7022517647</v>
      </c>
      <c r="AX9" s="213">
        <v>0</v>
      </c>
      <c r="AY9" s="213">
        <v>0</v>
      </c>
      <c r="AZ9" s="213">
        <v>0</v>
      </c>
      <c r="BA9" s="213">
        <v>0</v>
      </c>
      <c r="BB9" s="242">
        <f t="shared" ref="BB9:BB13" si="0">SUM(AU9:BA9)</f>
        <v>13218818639</v>
      </c>
      <c r="BC9" s="63">
        <v>32</v>
      </c>
      <c r="BD9" s="63">
        <v>32</v>
      </c>
      <c r="BE9" s="63">
        <v>86</v>
      </c>
      <c r="BF9" s="252">
        <v>0</v>
      </c>
      <c r="BG9" s="213">
        <v>0</v>
      </c>
      <c r="BH9" s="213">
        <v>0</v>
      </c>
      <c r="BI9" s="213">
        <v>0</v>
      </c>
      <c r="BJ9" s="242">
        <f t="shared" ref="BJ9:BJ13" si="1">SUM(BC9:BI9)</f>
        <v>150</v>
      </c>
      <c r="BK9" s="211"/>
      <c r="BL9" s="211"/>
      <c r="BM9" s="211"/>
      <c r="BN9" s="211"/>
      <c r="BO9" s="211"/>
      <c r="BP9" s="211"/>
      <c r="BQ9" s="211"/>
      <c r="BR9" s="210"/>
    </row>
    <row r="10" spans="1:70">
      <c r="A10" s="224">
        <v>3</v>
      </c>
      <c r="B10" s="224" t="s">
        <v>183</v>
      </c>
      <c r="C10" s="249" t="s">
        <v>184</v>
      </c>
      <c r="D10" s="249" t="s">
        <v>185</v>
      </c>
      <c r="E10" s="224" t="s">
        <v>186</v>
      </c>
      <c r="F10" s="61" t="s">
        <v>187</v>
      </c>
      <c r="G10" s="61" t="s">
        <v>188</v>
      </c>
      <c r="H10" s="61" t="s">
        <v>189</v>
      </c>
      <c r="I10" s="253" t="s">
        <v>263</v>
      </c>
      <c r="J10" s="52">
        <v>44853</v>
      </c>
      <c r="K10" s="222" t="s">
        <v>190</v>
      </c>
      <c r="L10" s="222" t="s">
        <v>191</v>
      </c>
      <c r="M10" s="255">
        <v>9</v>
      </c>
      <c r="N10" s="256"/>
      <c r="O10" s="221"/>
      <c r="P10" s="222" t="s">
        <v>192</v>
      </c>
      <c r="Q10" s="61" t="s">
        <v>193</v>
      </c>
      <c r="R10" s="222" t="s">
        <v>194</v>
      </c>
      <c r="S10" s="222" t="s">
        <v>194</v>
      </c>
      <c r="T10" s="217"/>
      <c r="U10" s="219"/>
      <c r="V10" s="219"/>
      <c r="W10" s="217"/>
      <c r="X10" s="61" t="s">
        <v>195</v>
      </c>
      <c r="Y10" s="204"/>
      <c r="Z10" s="61" t="s">
        <v>195</v>
      </c>
      <c r="AA10" s="222"/>
      <c r="AB10" s="53">
        <v>300000000</v>
      </c>
      <c r="AC10" s="53"/>
      <c r="AD10" s="53"/>
      <c r="AE10" s="53"/>
      <c r="AF10" s="53">
        <v>300000000</v>
      </c>
      <c r="AG10" s="53">
        <v>300000000</v>
      </c>
      <c r="AH10" s="53">
        <v>1</v>
      </c>
      <c r="AI10" s="53">
        <v>2000000000</v>
      </c>
      <c r="AJ10" s="54">
        <v>7999990200</v>
      </c>
      <c r="AK10" s="201" t="s">
        <v>196</v>
      </c>
      <c r="AL10" s="62" t="s">
        <v>197</v>
      </c>
      <c r="AM10" s="56"/>
      <c r="AN10" s="56"/>
      <c r="AO10" s="55"/>
      <c r="AP10" s="57"/>
      <c r="AQ10" s="57">
        <v>3</v>
      </c>
      <c r="AR10" s="57">
        <v>2</v>
      </c>
      <c r="AS10" s="54">
        <f>AT10+700000000</f>
        <v>1799926998</v>
      </c>
      <c r="AT10" s="54">
        <v>1099926998</v>
      </c>
      <c r="AU10" s="63">
        <v>144475000</v>
      </c>
      <c r="AV10" s="63">
        <v>1993415329</v>
      </c>
      <c r="AW10" s="63">
        <v>4901030639</v>
      </c>
      <c r="AX10" s="63">
        <v>4491669501</v>
      </c>
      <c r="AY10" s="63"/>
      <c r="AZ10" s="30"/>
      <c r="BA10" s="30"/>
      <c r="BB10" s="242">
        <f t="shared" si="0"/>
        <v>11530590469</v>
      </c>
      <c r="BC10" s="63">
        <v>0</v>
      </c>
      <c r="BD10" s="63">
        <v>9</v>
      </c>
      <c r="BE10" s="63">
        <v>7</v>
      </c>
      <c r="BF10" s="63">
        <v>7</v>
      </c>
      <c r="BG10" s="59"/>
      <c r="BH10" s="59"/>
      <c r="BI10" s="59"/>
      <c r="BJ10" s="242">
        <f t="shared" si="1"/>
        <v>23</v>
      </c>
      <c r="BK10" s="58"/>
      <c r="BL10" s="59"/>
      <c r="BM10" s="59"/>
      <c r="BN10" s="59"/>
      <c r="BO10" s="59"/>
      <c r="BP10" s="59"/>
      <c r="BQ10" s="59"/>
      <c r="BR10" s="60"/>
    </row>
    <row r="11" spans="1:70">
      <c r="A11" s="224">
        <v>4</v>
      </c>
      <c r="B11" s="240" t="s">
        <v>254</v>
      </c>
      <c r="C11" s="249" t="s">
        <v>255</v>
      </c>
      <c r="D11" s="240" t="s">
        <v>254</v>
      </c>
      <c r="E11" s="249" t="s">
        <v>255</v>
      </c>
      <c r="F11" s="240" t="s">
        <v>256</v>
      </c>
      <c r="G11" s="240" t="s">
        <v>257</v>
      </c>
      <c r="H11" s="240" t="s">
        <v>258</v>
      </c>
      <c r="I11" s="243" t="s">
        <v>259</v>
      </c>
      <c r="J11" s="244">
        <v>44824</v>
      </c>
      <c r="K11" s="240" t="s">
        <v>260</v>
      </c>
      <c r="L11" s="240" t="s">
        <v>261</v>
      </c>
      <c r="M11" s="61">
        <v>3</v>
      </c>
      <c r="N11" s="61" t="s">
        <v>262</v>
      </c>
      <c r="O11" s="240" t="s">
        <v>250</v>
      </c>
      <c r="P11" s="61" t="s">
        <v>213</v>
      </c>
      <c r="Q11" s="61" t="s">
        <v>193</v>
      </c>
      <c r="R11" s="61" t="s">
        <v>194</v>
      </c>
      <c r="S11" s="61" t="s">
        <v>194</v>
      </c>
      <c r="T11" s="245" t="s">
        <v>235</v>
      </c>
      <c r="U11" s="246" t="s">
        <v>194</v>
      </c>
      <c r="V11" s="246" t="s">
        <v>194</v>
      </c>
      <c r="W11" s="245" t="s">
        <v>235</v>
      </c>
      <c r="X11" s="240" t="s">
        <v>195</v>
      </c>
      <c r="Y11" s="245" t="s">
        <v>235</v>
      </c>
      <c r="Z11" s="240" t="s">
        <v>195</v>
      </c>
      <c r="AA11" s="245" t="s">
        <v>235</v>
      </c>
      <c r="AB11" s="245">
        <v>200038048</v>
      </c>
      <c r="AC11" s="245" t="s">
        <v>235</v>
      </c>
      <c r="AD11" s="245" t="s">
        <v>235</v>
      </c>
      <c r="AE11" s="245" t="s">
        <v>235</v>
      </c>
      <c r="AF11" s="245">
        <v>200038048</v>
      </c>
      <c r="AG11" s="245">
        <v>200038048</v>
      </c>
      <c r="AH11" s="246">
        <v>1</v>
      </c>
      <c r="AI11" s="245">
        <v>2300001264</v>
      </c>
      <c r="AJ11" s="245">
        <v>2300001264</v>
      </c>
      <c r="AK11" s="240" t="s">
        <v>196</v>
      </c>
      <c r="AL11" s="61" t="s">
        <v>197</v>
      </c>
      <c r="AM11" s="247">
        <v>0</v>
      </c>
      <c r="AN11" s="247">
        <v>0</v>
      </c>
      <c r="AO11" s="247">
        <v>0</v>
      </c>
      <c r="AP11" s="247">
        <v>0</v>
      </c>
      <c r="AQ11" s="240">
        <v>0</v>
      </c>
      <c r="AR11" s="240">
        <v>0</v>
      </c>
      <c r="AS11" s="252">
        <v>0</v>
      </c>
      <c r="AT11" s="252">
        <v>0</v>
      </c>
      <c r="AU11" s="63">
        <v>32470634</v>
      </c>
      <c r="AV11" s="258">
        <v>788283287</v>
      </c>
      <c r="AW11" s="63">
        <v>1111573079</v>
      </c>
      <c r="AX11" s="252">
        <v>0</v>
      </c>
      <c r="AY11" s="252">
        <v>0</v>
      </c>
      <c r="AZ11" s="247">
        <v>0</v>
      </c>
      <c r="BA11" s="247">
        <v>0</v>
      </c>
      <c r="BB11" s="242">
        <f t="shared" si="0"/>
        <v>1932327000</v>
      </c>
      <c r="BC11" s="63">
        <v>9</v>
      </c>
      <c r="BD11" s="63">
        <v>9</v>
      </c>
      <c r="BE11" s="63">
        <v>9</v>
      </c>
      <c r="BF11" s="252">
        <v>0</v>
      </c>
      <c r="BG11" s="247">
        <v>0</v>
      </c>
      <c r="BH11" s="247">
        <v>0</v>
      </c>
      <c r="BI11" s="247">
        <v>0</v>
      </c>
      <c r="BJ11" s="242">
        <f t="shared" si="1"/>
        <v>27</v>
      </c>
      <c r="BK11" s="242"/>
      <c r="BL11" s="242"/>
      <c r="BM11" s="242"/>
      <c r="BN11" s="242"/>
      <c r="BO11" s="242"/>
      <c r="BP11" s="242"/>
      <c r="BQ11" s="242"/>
      <c r="BR11" s="240"/>
    </row>
    <row r="12" spans="1:70">
      <c r="A12" s="224">
        <v>5</v>
      </c>
      <c r="B12" s="224" t="s">
        <v>210</v>
      </c>
      <c r="C12" s="249" t="s">
        <v>211</v>
      </c>
      <c r="D12" s="224" t="s">
        <v>210</v>
      </c>
      <c r="E12" s="249" t="s">
        <v>211</v>
      </c>
      <c r="F12" s="61" t="s">
        <v>179</v>
      </c>
      <c r="G12" s="61" t="s">
        <v>212</v>
      </c>
      <c r="H12" s="61" t="s">
        <v>200</v>
      </c>
      <c r="I12" s="253" t="s">
        <v>264</v>
      </c>
      <c r="J12" s="52">
        <v>43329</v>
      </c>
      <c r="K12" s="222" t="s">
        <v>198</v>
      </c>
      <c r="L12" s="222" t="s">
        <v>199</v>
      </c>
      <c r="M12" s="61">
        <v>12</v>
      </c>
      <c r="N12" s="256" t="s">
        <v>207</v>
      </c>
      <c r="O12" s="221"/>
      <c r="P12" s="222" t="s">
        <v>213</v>
      </c>
      <c r="Q12" s="61" t="s">
        <v>193</v>
      </c>
      <c r="R12" s="222" t="s">
        <v>194</v>
      </c>
      <c r="S12" s="222" t="s">
        <v>194</v>
      </c>
      <c r="T12" s="217"/>
      <c r="U12" s="219"/>
      <c r="V12" s="219"/>
      <c r="W12" s="217"/>
      <c r="X12" s="217"/>
      <c r="Y12" s="219"/>
      <c r="Z12" s="217"/>
      <c r="AA12" s="222"/>
      <c r="AB12" s="53">
        <v>199920000</v>
      </c>
      <c r="AC12" s="53">
        <v>199919000</v>
      </c>
      <c r="AD12" s="219"/>
      <c r="AE12" s="219"/>
      <c r="AF12" s="53">
        <v>1000</v>
      </c>
      <c r="AG12" s="53">
        <v>1000</v>
      </c>
      <c r="AH12" s="219"/>
      <c r="AI12" s="219"/>
      <c r="AJ12" s="220"/>
      <c r="AK12" s="217"/>
      <c r="AL12" s="61" t="s">
        <v>197</v>
      </c>
      <c r="AM12" s="218"/>
      <c r="AN12" s="218"/>
      <c r="AO12" s="217"/>
      <c r="AP12" s="216"/>
      <c r="AQ12" s="216"/>
      <c r="AR12" s="216"/>
      <c r="AS12" s="222"/>
      <c r="AT12" s="222"/>
      <c r="AU12" s="63"/>
      <c r="AV12" s="63">
        <v>43400000</v>
      </c>
      <c r="AW12" s="63">
        <v>241866700</v>
      </c>
      <c r="AX12" s="63">
        <v>396818183</v>
      </c>
      <c r="AY12" s="63"/>
      <c r="AZ12" s="30"/>
      <c r="BA12" s="30"/>
      <c r="BB12" s="242">
        <f t="shared" si="0"/>
        <v>682084883</v>
      </c>
      <c r="BC12" s="63"/>
      <c r="BD12" s="63">
        <v>4</v>
      </c>
      <c r="BE12" s="63">
        <v>2</v>
      </c>
      <c r="BF12" s="63">
        <v>3</v>
      </c>
      <c r="BG12" s="30"/>
      <c r="BH12" s="30"/>
      <c r="BI12" s="30"/>
      <c r="BJ12" s="242">
        <f t="shared" si="1"/>
        <v>9</v>
      </c>
      <c r="BK12" s="23"/>
      <c r="BL12" s="30"/>
      <c r="BM12" s="30"/>
      <c r="BN12" s="30"/>
      <c r="BO12" s="30"/>
      <c r="BP12" s="30"/>
      <c r="BQ12" s="30"/>
      <c r="BR12" s="24"/>
    </row>
    <row r="13" spans="1:70">
      <c r="A13" s="224">
        <v>6</v>
      </c>
      <c r="B13" s="224" t="s">
        <v>204</v>
      </c>
      <c r="C13" s="249" t="s">
        <v>205</v>
      </c>
      <c r="D13" s="224" t="s">
        <v>204</v>
      </c>
      <c r="E13" s="249" t="s">
        <v>205</v>
      </c>
      <c r="F13" s="61" t="s">
        <v>180</v>
      </c>
      <c r="G13" s="61" t="s">
        <v>206</v>
      </c>
      <c r="H13" s="61" t="s">
        <v>203</v>
      </c>
      <c r="I13" s="253" t="s">
        <v>265</v>
      </c>
      <c r="J13" s="52">
        <v>43893</v>
      </c>
      <c r="K13" s="222" t="s">
        <v>201</v>
      </c>
      <c r="L13" s="222" t="s">
        <v>202</v>
      </c>
      <c r="M13" s="255">
        <v>9</v>
      </c>
      <c r="N13" s="256"/>
      <c r="O13" s="221"/>
      <c r="P13" s="222" t="s">
        <v>192</v>
      </c>
      <c r="Q13" s="61" t="s">
        <v>208</v>
      </c>
      <c r="R13" s="222" t="s">
        <v>194</v>
      </c>
      <c r="S13" s="222" t="s">
        <v>194</v>
      </c>
      <c r="T13" s="217"/>
      <c r="U13" s="219"/>
      <c r="V13" s="219"/>
      <c r="W13" s="217"/>
      <c r="X13" s="217"/>
      <c r="Y13" s="219"/>
      <c r="Z13" s="217"/>
      <c r="AA13" s="222"/>
      <c r="AB13" s="53">
        <v>300000000</v>
      </c>
      <c r="AC13" s="53">
        <v>299999000</v>
      </c>
      <c r="AD13" s="219"/>
      <c r="AE13" s="219"/>
      <c r="AF13" s="53">
        <v>1000</v>
      </c>
      <c r="AG13" s="53">
        <v>1000</v>
      </c>
      <c r="AH13" s="219"/>
      <c r="AI13" s="53">
        <v>4718750000</v>
      </c>
      <c r="AJ13" s="220"/>
      <c r="AK13" s="217"/>
      <c r="AL13" s="61" t="s">
        <v>197</v>
      </c>
      <c r="AM13" s="218"/>
      <c r="AN13" s="218"/>
      <c r="AO13" s="217"/>
      <c r="AP13" s="216"/>
      <c r="AQ13" s="216"/>
      <c r="AR13" s="216"/>
      <c r="AS13" s="222"/>
      <c r="AT13" s="222"/>
      <c r="AU13" s="63">
        <v>1783687364</v>
      </c>
      <c r="AV13" s="63" t="s">
        <v>209</v>
      </c>
      <c r="AW13" s="63"/>
      <c r="AX13" s="63"/>
      <c r="AY13" s="63"/>
      <c r="AZ13" s="30"/>
      <c r="BA13" s="30"/>
      <c r="BB13" s="242">
        <f t="shared" si="0"/>
        <v>1783687364</v>
      </c>
      <c r="BC13" s="63"/>
      <c r="BD13" s="63">
        <v>11</v>
      </c>
      <c r="BE13" s="63">
        <v>1</v>
      </c>
      <c r="BF13" s="63"/>
      <c r="BG13" s="30"/>
      <c r="BH13" s="30"/>
      <c r="BI13" s="30"/>
      <c r="BJ13" s="242">
        <f t="shared" si="1"/>
        <v>12</v>
      </c>
      <c r="BK13" s="23"/>
      <c r="BL13" s="30"/>
      <c r="BM13" s="30"/>
      <c r="BN13" s="30"/>
      <c r="BO13" s="30"/>
      <c r="BP13" s="30"/>
      <c r="BQ13" s="30"/>
      <c r="BR13" s="24"/>
    </row>
    <row r="14" spans="1:70">
      <c r="A14" s="224">
        <v>7</v>
      </c>
      <c r="B14" s="224"/>
      <c r="C14" s="224"/>
      <c r="D14" s="224"/>
      <c r="E14" s="224"/>
      <c r="F14" s="61"/>
      <c r="G14" s="61"/>
      <c r="H14" s="61"/>
      <c r="I14" s="223"/>
      <c r="J14" s="222"/>
      <c r="K14" s="222"/>
      <c r="L14" s="222"/>
      <c r="M14" s="221"/>
      <c r="N14" s="221"/>
      <c r="O14" s="221"/>
      <c r="P14" s="221"/>
      <c r="Q14" s="257"/>
      <c r="R14" s="217"/>
      <c r="S14" s="217"/>
      <c r="T14" s="217"/>
      <c r="U14" s="219"/>
      <c r="V14" s="219"/>
      <c r="W14" s="217"/>
      <c r="X14" s="217"/>
      <c r="Y14" s="219"/>
      <c r="Z14" s="217"/>
      <c r="AA14" s="222"/>
      <c r="AB14" s="219"/>
      <c r="AC14" s="219"/>
      <c r="AD14" s="219"/>
      <c r="AE14" s="219"/>
      <c r="AF14" s="219"/>
      <c r="AG14" s="219"/>
      <c r="AH14" s="219"/>
      <c r="AI14" s="219"/>
      <c r="AJ14" s="220"/>
      <c r="AK14" s="217"/>
      <c r="AL14" s="203"/>
      <c r="AM14" s="218"/>
      <c r="AN14" s="218"/>
      <c r="AO14" s="217"/>
      <c r="AP14" s="216"/>
      <c r="AQ14" s="216"/>
      <c r="AR14" s="216"/>
      <c r="AS14" s="216"/>
      <c r="AT14" s="216"/>
      <c r="AU14" s="23"/>
      <c r="AV14" s="30"/>
      <c r="AW14" s="30"/>
      <c r="AX14" s="30"/>
      <c r="AY14" s="30"/>
      <c r="AZ14" s="30"/>
      <c r="BA14" s="30"/>
      <c r="BB14" s="24"/>
      <c r="BC14" s="23"/>
      <c r="BD14" s="30"/>
      <c r="BE14" s="30"/>
      <c r="BF14" s="30"/>
      <c r="BG14" s="30"/>
      <c r="BH14" s="30"/>
      <c r="BI14" s="30"/>
      <c r="BJ14" s="24"/>
      <c r="BK14" s="23"/>
      <c r="BL14" s="30"/>
      <c r="BM14" s="30"/>
      <c r="BN14" s="30"/>
      <c r="BO14" s="30"/>
      <c r="BP14" s="30"/>
      <c r="BQ14" s="30"/>
      <c r="BR14" s="24"/>
    </row>
    <row r="15" spans="1:70">
      <c r="A15" s="224">
        <v>8</v>
      </c>
      <c r="B15" s="224"/>
      <c r="C15" s="224"/>
      <c r="D15" s="224"/>
      <c r="E15" s="224"/>
      <c r="F15" s="61"/>
      <c r="G15" s="61"/>
      <c r="H15" s="61"/>
      <c r="I15" s="223"/>
      <c r="J15" s="222"/>
      <c r="K15" s="222"/>
      <c r="L15" s="222"/>
      <c r="M15" s="221"/>
      <c r="N15" s="221"/>
      <c r="O15" s="221"/>
      <c r="P15" s="221"/>
      <c r="Q15" s="257"/>
      <c r="R15" s="217"/>
      <c r="S15" s="217"/>
      <c r="T15" s="217"/>
      <c r="U15" s="219"/>
      <c r="V15" s="219"/>
      <c r="W15" s="217"/>
      <c r="X15" s="217"/>
      <c r="Y15" s="219"/>
      <c r="Z15" s="217"/>
      <c r="AA15" s="222"/>
      <c r="AB15" s="219"/>
      <c r="AC15" s="219"/>
      <c r="AD15" s="219"/>
      <c r="AE15" s="219"/>
      <c r="AF15" s="219"/>
      <c r="AG15" s="219"/>
      <c r="AH15" s="219"/>
      <c r="AI15" s="219"/>
      <c r="AJ15" s="220"/>
      <c r="AK15" s="217"/>
      <c r="AL15" s="203"/>
      <c r="AM15" s="218"/>
      <c r="AN15" s="218"/>
      <c r="AO15" s="217"/>
      <c r="AP15" s="216"/>
      <c r="AQ15" s="216"/>
      <c r="AR15" s="216"/>
      <c r="AS15" s="216"/>
      <c r="AT15" s="216"/>
      <c r="AU15" s="23"/>
      <c r="AV15" s="30"/>
      <c r="AW15" s="30"/>
      <c r="AX15" s="30"/>
      <c r="AY15" s="30"/>
      <c r="AZ15" s="30"/>
      <c r="BA15" s="30"/>
      <c r="BB15" s="24"/>
      <c r="BC15" s="23"/>
      <c r="BD15" s="30"/>
      <c r="BE15" s="30"/>
      <c r="BF15" s="30"/>
      <c r="BG15" s="30"/>
      <c r="BH15" s="30"/>
      <c r="BI15" s="30"/>
      <c r="BJ15" s="24"/>
      <c r="BK15" s="23"/>
      <c r="BL15" s="30"/>
      <c r="BM15" s="30"/>
      <c r="BN15" s="30"/>
      <c r="BO15" s="30"/>
      <c r="BP15" s="30"/>
      <c r="BQ15" s="30"/>
      <c r="BR15" s="24"/>
    </row>
    <row r="16" spans="1:70">
      <c r="A16" s="224">
        <v>9</v>
      </c>
      <c r="B16" s="224"/>
      <c r="C16" s="224"/>
      <c r="D16" s="224"/>
      <c r="E16" s="224"/>
      <c r="F16" s="61"/>
      <c r="G16" s="61"/>
      <c r="H16" s="61"/>
      <c r="I16" s="223"/>
      <c r="J16" s="222"/>
      <c r="K16" s="222"/>
      <c r="L16" s="222"/>
      <c r="M16" s="221"/>
      <c r="N16" s="221"/>
      <c r="O16" s="221"/>
      <c r="P16" s="221"/>
      <c r="Q16" s="257"/>
      <c r="R16" s="217"/>
      <c r="S16" s="217"/>
      <c r="T16" s="217"/>
      <c r="U16" s="219"/>
      <c r="V16" s="219"/>
      <c r="W16" s="217"/>
      <c r="X16" s="217"/>
      <c r="Y16" s="219"/>
      <c r="Z16" s="217"/>
      <c r="AA16" s="222"/>
      <c r="AB16" s="219"/>
      <c r="AC16" s="219"/>
      <c r="AD16" s="219"/>
      <c r="AE16" s="219"/>
      <c r="AF16" s="219"/>
      <c r="AG16" s="219"/>
      <c r="AH16" s="219"/>
      <c r="AI16" s="219"/>
      <c r="AJ16" s="220"/>
      <c r="AK16" s="217"/>
      <c r="AL16" s="203"/>
      <c r="AM16" s="218"/>
      <c r="AN16" s="218"/>
      <c r="AO16" s="217"/>
      <c r="AP16" s="216"/>
      <c r="AQ16" s="216"/>
      <c r="AR16" s="216"/>
      <c r="AS16" s="216"/>
      <c r="AT16" s="216"/>
      <c r="AU16" s="23"/>
      <c r="AV16" s="30"/>
      <c r="AW16" s="30"/>
      <c r="AX16" s="30"/>
      <c r="AY16" s="30"/>
      <c r="AZ16" s="30"/>
      <c r="BA16" s="30"/>
      <c r="BB16" s="24"/>
      <c r="BC16" s="23"/>
      <c r="BD16" s="30"/>
      <c r="BE16" s="30"/>
      <c r="BF16" s="30"/>
      <c r="BG16" s="30"/>
      <c r="BH16" s="30"/>
      <c r="BI16" s="30"/>
      <c r="BJ16" s="24"/>
      <c r="BK16" s="23"/>
      <c r="BL16" s="30"/>
      <c r="BM16" s="30"/>
      <c r="BN16" s="30"/>
      <c r="BO16" s="30"/>
      <c r="BP16" s="30"/>
      <c r="BQ16" s="30"/>
      <c r="BR16" s="24"/>
    </row>
    <row r="17" spans="1:70">
      <c r="A17" s="224">
        <v>10</v>
      </c>
      <c r="B17" s="224"/>
      <c r="C17" s="224"/>
      <c r="D17" s="224"/>
      <c r="E17" s="224"/>
      <c r="F17" s="61"/>
      <c r="G17" s="61"/>
      <c r="H17" s="61"/>
      <c r="I17" s="223"/>
      <c r="J17" s="222"/>
      <c r="K17" s="222"/>
      <c r="L17" s="222"/>
      <c r="M17" s="221"/>
      <c r="N17" s="221"/>
      <c r="O17" s="221"/>
      <c r="P17" s="221"/>
      <c r="Q17" s="257"/>
      <c r="R17" s="217"/>
      <c r="S17" s="217"/>
      <c r="T17" s="217"/>
      <c r="U17" s="219"/>
      <c r="V17" s="219"/>
      <c r="W17" s="217"/>
      <c r="X17" s="217"/>
      <c r="Y17" s="219"/>
      <c r="Z17" s="217"/>
      <c r="AA17" s="222"/>
      <c r="AB17" s="219"/>
      <c r="AC17" s="219"/>
      <c r="AD17" s="219"/>
      <c r="AE17" s="219"/>
      <c r="AF17" s="219"/>
      <c r="AG17" s="219"/>
      <c r="AH17" s="219"/>
      <c r="AI17" s="219"/>
      <c r="AJ17" s="220"/>
      <c r="AK17" s="217"/>
      <c r="AL17" s="203"/>
      <c r="AM17" s="218"/>
      <c r="AN17" s="218"/>
      <c r="AO17" s="217"/>
      <c r="AP17" s="216"/>
      <c r="AQ17" s="216"/>
      <c r="AR17" s="216"/>
      <c r="AS17" s="216"/>
      <c r="AT17" s="216"/>
      <c r="AU17" s="23"/>
      <c r="AV17" s="30"/>
      <c r="AW17" s="30"/>
      <c r="AX17" s="30"/>
      <c r="AY17" s="30"/>
      <c r="AZ17" s="30"/>
      <c r="BA17" s="30"/>
      <c r="BB17" s="24"/>
      <c r="BC17" s="23"/>
      <c r="BD17" s="30"/>
      <c r="BE17" s="30"/>
      <c r="BF17" s="30"/>
      <c r="BG17" s="30"/>
      <c r="BH17" s="30"/>
      <c r="BI17" s="30"/>
      <c r="BJ17" s="24"/>
      <c r="BK17" s="23"/>
      <c r="BL17" s="30"/>
      <c r="BM17" s="30"/>
      <c r="BN17" s="30"/>
      <c r="BO17" s="30"/>
      <c r="BP17" s="30"/>
      <c r="BQ17" s="30"/>
      <c r="BR17" s="24"/>
    </row>
    <row r="18" spans="1:70">
      <c r="A18" s="224">
        <v>11</v>
      </c>
      <c r="B18" s="224"/>
      <c r="C18" s="224"/>
      <c r="D18" s="224"/>
      <c r="E18" s="224"/>
      <c r="F18" s="61"/>
      <c r="G18" s="61"/>
      <c r="H18" s="61"/>
      <c r="I18" s="223"/>
      <c r="J18" s="222"/>
      <c r="K18" s="222"/>
      <c r="L18" s="222"/>
      <c r="M18" s="221"/>
      <c r="N18" s="221"/>
      <c r="O18" s="221"/>
      <c r="P18" s="221"/>
      <c r="Q18" s="257"/>
      <c r="R18" s="217"/>
      <c r="S18" s="217"/>
      <c r="T18" s="217"/>
      <c r="U18" s="219"/>
      <c r="V18" s="219"/>
      <c r="W18" s="217"/>
      <c r="X18" s="217"/>
      <c r="Y18" s="219"/>
      <c r="Z18" s="217"/>
      <c r="AA18" s="222"/>
      <c r="AB18" s="219"/>
      <c r="AC18" s="219"/>
      <c r="AD18" s="219"/>
      <c r="AE18" s="219"/>
      <c r="AF18" s="219"/>
      <c r="AG18" s="219"/>
      <c r="AH18" s="219"/>
      <c r="AI18" s="219"/>
      <c r="AJ18" s="220"/>
      <c r="AK18" s="217"/>
      <c r="AL18" s="203"/>
      <c r="AM18" s="218"/>
      <c r="AN18" s="218"/>
      <c r="AO18" s="217"/>
      <c r="AP18" s="216"/>
      <c r="AQ18" s="216"/>
      <c r="AR18" s="216"/>
      <c r="AS18" s="216"/>
      <c r="AT18" s="216"/>
      <c r="AU18" s="23"/>
      <c r="AV18" s="30"/>
      <c r="AW18" s="30"/>
      <c r="AX18" s="30"/>
      <c r="AY18" s="30"/>
      <c r="AZ18" s="30"/>
      <c r="BA18" s="30"/>
      <c r="BB18" s="24"/>
      <c r="BC18" s="23"/>
      <c r="BD18" s="30"/>
      <c r="BE18" s="30"/>
      <c r="BF18" s="30"/>
      <c r="BG18" s="30"/>
      <c r="BH18" s="30"/>
      <c r="BI18" s="30"/>
      <c r="BJ18" s="24"/>
      <c r="BK18" s="23"/>
      <c r="BL18" s="30"/>
      <c r="BM18" s="30"/>
      <c r="BN18" s="30"/>
      <c r="BO18" s="30"/>
      <c r="BP18" s="30"/>
      <c r="BQ18" s="30"/>
      <c r="BR18" s="24"/>
    </row>
    <row r="19" spans="1:70">
      <c r="A19" s="224">
        <v>12</v>
      </c>
      <c r="B19" s="224"/>
      <c r="C19" s="224"/>
      <c r="D19" s="224"/>
      <c r="E19" s="224"/>
      <c r="F19" s="61"/>
      <c r="G19" s="61"/>
      <c r="H19" s="61"/>
      <c r="I19" s="223"/>
      <c r="J19" s="222"/>
      <c r="K19" s="222"/>
      <c r="L19" s="222"/>
      <c r="M19" s="221"/>
      <c r="N19" s="221"/>
      <c r="O19" s="221"/>
      <c r="P19" s="221"/>
      <c r="Q19" s="257"/>
      <c r="R19" s="217"/>
      <c r="S19" s="217"/>
      <c r="T19" s="217"/>
      <c r="U19" s="219"/>
      <c r="V19" s="219"/>
      <c r="W19" s="217"/>
      <c r="X19" s="217"/>
      <c r="Y19" s="219"/>
      <c r="Z19" s="217"/>
      <c r="AA19" s="222"/>
      <c r="AB19" s="219"/>
      <c r="AC19" s="219"/>
      <c r="AD19" s="219"/>
      <c r="AE19" s="219"/>
      <c r="AF19" s="219"/>
      <c r="AG19" s="219"/>
      <c r="AH19" s="219"/>
      <c r="AI19" s="219"/>
      <c r="AJ19" s="220"/>
      <c r="AK19" s="217"/>
      <c r="AL19" s="203"/>
      <c r="AM19" s="218"/>
      <c r="AN19" s="218"/>
      <c r="AO19" s="217"/>
      <c r="AP19" s="216"/>
      <c r="AQ19" s="216"/>
      <c r="AR19" s="216"/>
      <c r="AS19" s="216"/>
      <c r="AT19" s="216"/>
      <c r="AU19" s="23"/>
      <c r="AV19" s="30"/>
      <c r="AW19" s="30"/>
      <c r="AX19" s="30"/>
      <c r="AY19" s="30"/>
      <c r="AZ19" s="30"/>
      <c r="BA19" s="30"/>
      <c r="BB19" s="24"/>
      <c r="BC19" s="23"/>
      <c r="BD19" s="30"/>
      <c r="BE19" s="30"/>
      <c r="BF19" s="30"/>
      <c r="BG19" s="30"/>
      <c r="BH19" s="30"/>
      <c r="BI19" s="30"/>
      <c r="BJ19" s="24"/>
      <c r="BK19" s="23"/>
      <c r="BL19" s="30"/>
      <c r="BM19" s="30"/>
      <c r="BN19" s="30"/>
      <c r="BO19" s="30"/>
      <c r="BP19" s="30"/>
      <c r="BQ19" s="30"/>
      <c r="BR19" s="24"/>
    </row>
    <row r="20" spans="1:70">
      <c r="A20" s="224">
        <v>13</v>
      </c>
      <c r="B20" s="224"/>
      <c r="C20" s="224"/>
      <c r="D20" s="224"/>
      <c r="E20" s="224"/>
      <c r="F20" s="61"/>
      <c r="G20" s="61"/>
      <c r="H20" s="61"/>
      <c r="I20" s="223"/>
      <c r="J20" s="222"/>
      <c r="K20" s="222"/>
      <c r="L20" s="222"/>
      <c r="M20" s="221"/>
      <c r="N20" s="221"/>
      <c r="O20" s="221"/>
      <c r="P20" s="221"/>
      <c r="Q20" s="257"/>
      <c r="R20" s="217"/>
      <c r="S20" s="217"/>
      <c r="T20" s="217"/>
      <c r="U20" s="219"/>
      <c r="V20" s="219"/>
      <c r="W20" s="217"/>
      <c r="X20" s="217"/>
      <c r="Y20" s="219"/>
      <c r="Z20" s="217"/>
      <c r="AA20" s="222"/>
      <c r="AB20" s="219"/>
      <c r="AC20" s="219"/>
      <c r="AD20" s="219"/>
      <c r="AE20" s="219"/>
      <c r="AF20" s="219"/>
      <c r="AG20" s="219"/>
      <c r="AH20" s="219"/>
      <c r="AI20" s="219"/>
      <c r="AJ20" s="220"/>
      <c r="AK20" s="217"/>
      <c r="AL20" s="203"/>
      <c r="AM20" s="218"/>
      <c r="AN20" s="218"/>
      <c r="AO20" s="217"/>
      <c r="AP20" s="216"/>
      <c r="AQ20" s="216"/>
      <c r="AR20" s="216"/>
      <c r="AS20" s="216"/>
      <c r="AT20" s="216"/>
      <c r="AU20" s="23"/>
      <c r="AV20" s="30"/>
      <c r="AW20" s="30"/>
      <c r="AX20" s="30"/>
      <c r="AY20" s="30"/>
      <c r="AZ20" s="30"/>
      <c r="BA20" s="30"/>
      <c r="BB20" s="24"/>
      <c r="BC20" s="23"/>
      <c r="BD20" s="30"/>
      <c r="BE20" s="30"/>
      <c r="BF20" s="30"/>
      <c r="BG20" s="30"/>
      <c r="BH20" s="30"/>
      <c r="BI20" s="30"/>
      <c r="BJ20" s="24"/>
      <c r="BK20" s="23"/>
      <c r="BL20" s="30"/>
      <c r="BM20" s="30"/>
      <c r="BN20" s="30"/>
      <c r="BO20" s="30"/>
      <c r="BP20" s="30"/>
      <c r="BQ20" s="30"/>
      <c r="BR20" s="24"/>
    </row>
    <row r="21" spans="1:70">
      <c r="A21" s="224">
        <v>14</v>
      </c>
      <c r="B21" s="224"/>
      <c r="C21" s="224"/>
      <c r="D21" s="224"/>
      <c r="E21" s="224"/>
      <c r="F21" s="61"/>
      <c r="G21" s="61"/>
      <c r="H21" s="61"/>
      <c r="I21" s="223"/>
      <c r="J21" s="222"/>
      <c r="K21" s="222"/>
      <c r="L21" s="222"/>
      <c r="M21" s="221"/>
      <c r="N21" s="221"/>
      <c r="O21" s="221"/>
      <c r="P21" s="221"/>
      <c r="Q21" s="257"/>
      <c r="R21" s="217"/>
      <c r="S21" s="217"/>
      <c r="T21" s="217"/>
      <c r="U21" s="219"/>
      <c r="V21" s="219"/>
      <c r="W21" s="217"/>
      <c r="X21" s="217"/>
      <c r="Y21" s="219"/>
      <c r="Z21" s="217"/>
      <c r="AA21" s="222"/>
      <c r="AB21" s="219"/>
      <c r="AC21" s="219"/>
      <c r="AD21" s="219"/>
      <c r="AE21" s="219"/>
      <c r="AF21" s="219"/>
      <c r="AG21" s="219"/>
      <c r="AH21" s="219"/>
      <c r="AI21" s="219"/>
      <c r="AJ21" s="220"/>
      <c r="AK21" s="217"/>
      <c r="AL21" s="203"/>
      <c r="AM21" s="218"/>
      <c r="AN21" s="218"/>
      <c r="AO21" s="217"/>
      <c r="AP21" s="216"/>
      <c r="AQ21" s="216"/>
      <c r="AR21" s="216"/>
      <c r="AS21" s="216"/>
      <c r="AT21" s="216"/>
      <c r="AU21" s="23"/>
      <c r="AV21" s="30"/>
      <c r="AW21" s="30"/>
      <c r="AX21" s="30"/>
      <c r="AY21" s="30"/>
      <c r="AZ21" s="30"/>
      <c r="BA21" s="30"/>
      <c r="BB21" s="24"/>
      <c r="BC21" s="23"/>
      <c r="BD21" s="30"/>
      <c r="BE21" s="30"/>
      <c r="BF21" s="30"/>
      <c r="BG21" s="30"/>
      <c r="BH21" s="30"/>
      <c r="BI21" s="30"/>
      <c r="BJ21" s="24"/>
      <c r="BK21" s="23"/>
      <c r="BL21" s="30"/>
      <c r="BM21" s="30"/>
      <c r="BN21" s="30"/>
      <c r="BO21" s="30"/>
      <c r="BP21" s="30"/>
      <c r="BQ21" s="30"/>
      <c r="BR21" s="24"/>
    </row>
    <row r="22" spans="1:70">
      <c r="A22" s="224">
        <v>15</v>
      </c>
      <c r="B22" s="224"/>
      <c r="C22" s="224"/>
      <c r="D22" s="224"/>
      <c r="E22" s="224"/>
      <c r="F22" s="61"/>
      <c r="G22" s="61"/>
      <c r="H22" s="61"/>
      <c r="I22" s="223"/>
      <c r="J22" s="222"/>
      <c r="K22" s="222"/>
      <c r="L22" s="222"/>
      <c r="M22" s="221"/>
      <c r="N22" s="221"/>
      <c r="O22" s="221"/>
      <c r="P22" s="221"/>
      <c r="Q22" s="257"/>
      <c r="R22" s="217"/>
      <c r="S22" s="217"/>
      <c r="T22" s="217"/>
      <c r="U22" s="219"/>
      <c r="V22" s="219"/>
      <c r="W22" s="217"/>
      <c r="X22" s="217"/>
      <c r="Y22" s="219"/>
      <c r="Z22" s="217"/>
      <c r="AA22" s="222"/>
      <c r="AB22" s="219"/>
      <c r="AC22" s="219"/>
      <c r="AD22" s="219"/>
      <c r="AE22" s="219"/>
      <c r="AF22" s="219"/>
      <c r="AG22" s="219"/>
      <c r="AH22" s="219"/>
      <c r="AI22" s="219"/>
      <c r="AJ22" s="220"/>
      <c r="AK22" s="217"/>
      <c r="AL22" s="203"/>
      <c r="AM22" s="218"/>
      <c r="AN22" s="218"/>
      <c r="AO22" s="217"/>
      <c r="AP22" s="216"/>
      <c r="AQ22" s="216"/>
      <c r="AR22" s="216"/>
      <c r="AS22" s="216"/>
      <c r="AT22" s="216"/>
      <c r="AU22" s="23"/>
      <c r="AV22" s="30"/>
      <c r="AW22" s="30"/>
      <c r="AX22" s="30"/>
      <c r="AY22" s="30"/>
      <c r="AZ22" s="30"/>
      <c r="BA22" s="30"/>
      <c r="BB22" s="24"/>
      <c r="BC22" s="23"/>
      <c r="BD22" s="30"/>
      <c r="BE22" s="30"/>
      <c r="BF22" s="30"/>
      <c r="BG22" s="30"/>
      <c r="BH22" s="30"/>
      <c r="BI22" s="30"/>
      <c r="BJ22" s="24"/>
      <c r="BK22" s="23"/>
      <c r="BL22" s="30"/>
      <c r="BM22" s="30"/>
      <c r="BN22" s="30"/>
      <c r="BO22" s="30"/>
      <c r="BP22" s="30"/>
      <c r="BQ22" s="30"/>
      <c r="BR22" s="24"/>
    </row>
    <row r="23" spans="1:70">
      <c r="A23" s="224">
        <v>16</v>
      </c>
      <c r="B23" s="224"/>
      <c r="C23" s="224"/>
      <c r="D23" s="224"/>
      <c r="E23" s="224"/>
      <c r="F23" s="61"/>
      <c r="G23" s="61"/>
      <c r="H23" s="61"/>
      <c r="I23" s="223"/>
      <c r="J23" s="222"/>
      <c r="K23" s="222"/>
      <c r="L23" s="222"/>
      <c r="M23" s="221"/>
      <c r="N23" s="221"/>
      <c r="O23" s="221"/>
      <c r="P23" s="221"/>
      <c r="Q23" s="257"/>
      <c r="R23" s="217"/>
      <c r="S23" s="217"/>
      <c r="T23" s="217"/>
      <c r="U23" s="219"/>
      <c r="V23" s="219"/>
      <c r="W23" s="217"/>
      <c r="X23" s="217"/>
      <c r="Y23" s="219"/>
      <c r="Z23" s="217"/>
      <c r="AA23" s="222"/>
      <c r="AB23" s="219"/>
      <c r="AC23" s="219"/>
      <c r="AD23" s="219"/>
      <c r="AE23" s="219"/>
      <c r="AF23" s="219"/>
      <c r="AG23" s="219"/>
      <c r="AH23" s="219"/>
      <c r="AI23" s="219"/>
      <c r="AJ23" s="220"/>
      <c r="AK23" s="217"/>
      <c r="AL23" s="203"/>
      <c r="AM23" s="218"/>
      <c r="AN23" s="218"/>
      <c r="AO23" s="217"/>
      <c r="AP23" s="216"/>
      <c r="AQ23" s="216"/>
      <c r="AR23" s="216"/>
      <c r="AS23" s="216"/>
      <c r="AT23" s="216"/>
      <c r="AU23" s="23"/>
      <c r="AV23" s="30"/>
      <c r="AW23" s="30"/>
      <c r="AX23" s="30"/>
      <c r="AY23" s="30"/>
      <c r="AZ23" s="30"/>
      <c r="BA23" s="30"/>
      <c r="BB23" s="24"/>
      <c r="BC23" s="23"/>
      <c r="BD23" s="30"/>
      <c r="BE23" s="30"/>
      <c r="BF23" s="30"/>
      <c r="BG23" s="30"/>
      <c r="BH23" s="30"/>
      <c r="BI23" s="30"/>
      <c r="BJ23" s="24"/>
      <c r="BK23" s="23"/>
      <c r="BL23" s="30"/>
      <c r="BM23" s="30"/>
      <c r="BN23" s="30"/>
      <c r="BO23" s="30"/>
      <c r="BP23" s="30"/>
      <c r="BQ23" s="30"/>
      <c r="BR23" s="24"/>
    </row>
    <row r="24" spans="1:70">
      <c r="A24" s="224">
        <v>17</v>
      </c>
      <c r="B24" s="224"/>
      <c r="C24" s="224"/>
      <c r="D24" s="224"/>
      <c r="E24" s="224"/>
      <c r="F24" s="61"/>
      <c r="G24" s="61"/>
      <c r="H24" s="61"/>
      <c r="I24" s="223"/>
      <c r="J24" s="222"/>
      <c r="K24" s="222"/>
      <c r="L24" s="222"/>
      <c r="M24" s="221"/>
      <c r="N24" s="221"/>
      <c r="O24" s="221"/>
      <c r="P24" s="221"/>
      <c r="Q24" s="257"/>
      <c r="R24" s="217"/>
      <c r="S24" s="217"/>
      <c r="T24" s="217"/>
      <c r="U24" s="219"/>
      <c r="V24" s="219"/>
      <c r="W24" s="217"/>
      <c r="X24" s="217"/>
      <c r="Y24" s="219"/>
      <c r="Z24" s="217"/>
      <c r="AA24" s="222"/>
      <c r="AB24" s="219"/>
      <c r="AC24" s="219"/>
      <c r="AD24" s="219"/>
      <c r="AE24" s="219"/>
      <c r="AF24" s="219"/>
      <c r="AG24" s="219"/>
      <c r="AH24" s="219"/>
      <c r="AI24" s="219"/>
      <c r="AJ24" s="220"/>
      <c r="AK24" s="217"/>
      <c r="AL24" s="203"/>
      <c r="AM24" s="218"/>
      <c r="AN24" s="218"/>
      <c r="AO24" s="217"/>
      <c r="AP24" s="216"/>
      <c r="AQ24" s="216"/>
      <c r="AR24" s="216"/>
      <c r="AS24" s="216"/>
      <c r="AT24" s="216"/>
      <c r="AU24" s="23"/>
      <c r="AV24" s="30"/>
      <c r="AW24" s="30"/>
      <c r="AX24" s="30"/>
      <c r="AY24" s="30"/>
      <c r="AZ24" s="30"/>
      <c r="BA24" s="30"/>
      <c r="BB24" s="24"/>
      <c r="BC24" s="23"/>
      <c r="BD24" s="30"/>
      <c r="BE24" s="30"/>
      <c r="BF24" s="30"/>
      <c r="BG24" s="30"/>
      <c r="BH24" s="30"/>
      <c r="BI24" s="30"/>
      <c r="BJ24" s="24"/>
      <c r="BK24" s="23"/>
      <c r="BL24" s="30"/>
      <c r="BM24" s="30"/>
      <c r="BN24" s="30"/>
      <c r="BO24" s="30"/>
      <c r="BP24" s="30"/>
      <c r="BQ24" s="30"/>
      <c r="BR24" s="24"/>
    </row>
    <row r="25" spans="1:70">
      <c r="A25" s="224">
        <v>18</v>
      </c>
      <c r="B25" s="224"/>
      <c r="C25" s="224"/>
      <c r="D25" s="224"/>
      <c r="E25" s="224"/>
      <c r="F25" s="61"/>
      <c r="G25" s="61"/>
      <c r="H25" s="61"/>
      <c r="I25" s="223"/>
      <c r="J25" s="222"/>
      <c r="K25" s="222"/>
      <c r="L25" s="222"/>
      <c r="M25" s="221"/>
      <c r="N25" s="221"/>
      <c r="O25" s="221"/>
      <c r="P25" s="221"/>
      <c r="Q25" s="257"/>
      <c r="R25" s="217"/>
      <c r="S25" s="217"/>
      <c r="T25" s="217"/>
      <c r="U25" s="219"/>
      <c r="V25" s="219"/>
      <c r="W25" s="217"/>
      <c r="X25" s="217"/>
      <c r="Y25" s="219"/>
      <c r="Z25" s="217"/>
      <c r="AA25" s="222"/>
      <c r="AB25" s="219"/>
      <c r="AC25" s="219"/>
      <c r="AD25" s="219"/>
      <c r="AE25" s="219"/>
      <c r="AF25" s="219"/>
      <c r="AG25" s="219"/>
      <c r="AH25" s="219"/>
      <c r="AI25" s="219"/>
      <c r="AJ25" s="220"/>
      <c r="AK25" s="217"/>
      <c r="AL25" s="203"/>
      <c r="AM25" s="218"/>
      <c r="AN25" s="218"/>
      <c r="AO25" s="217"/>
      <c r="AP25" s="216"/>
      <c r="AQ25" s="216"/>
      <c r="AR25" s="216"/>
      <c r="AS25" s="216"/>
      <c r="AT25" s="216"/>
      <c r="AU25" s="23"/>
      <c r="AV25" s="30"/>
      <c r="AW25" s="30"/>
      <c r="AX25" s="30"/>
      <c r="AY25" s="30"/>
      <c r="AZ25" s="30"/>
      <c r="BA25" s="30"/>
      <c r="BB25" s="24"/>
      <c r="BC25" s="23"/>
      <c r="BD25" s="30"/>
      <c r="BE25" s="30"/>
      <c r="BF25" s="30"/>
      <c r="BG25" s="30"/>
      <c r="BH25" s="30"/>
      <c r="BI25" s="30"/>
      <c r="BJ25" s="24"/>
      <c r="BK25" s="23"/>
      <c r="BL25" s="30"/>
      <c r="BM25" s="30"/>
      <c r="BN25" s="30"/>
      <c r="BO25" s="30"/>
      <c r="BP25" s="30"/>
      <c r="BQ25" s="30"/>
      <c r="BR25" s="24"/>
    </row>
    <row r="26" spans="1:70">
      <c r="A26" s="224">
        <v>19</v>
      </c>
      <c r="B26" s="224"/>
      <c r="C26" s="224"/>
      <c r="D26" s="224"/>
      <c r="E26" s="224"/>
      <c r="F26" s="61"/>
      <c r="G26" s="61"/>
      <c r="H26" s="61"/>
      <c r="I26" s="223"/>
      <c r="J26" s="222"/>
      <c r="K26" s="222"/>
      <c r="L26" s="222"/>
      <c r="M26" s="221"/>
      <c r="N26" s="221"/>
      <c r="O26" s="221"/>
      <c r="P26" s="221"/>
      <c r="Q26" s="257"/>
      <c r="R26" s="217"/>
      <c r="S26" s="217"/>
      <c r="T26" s="217"/>
      <c r="U26" s="219"/>
      <c r="V26" s="219"/>
      <c r="W26" s="217"/>
      <c r="X26" s="217"/>
      <c r="Y26" s="219"/>
      <c r="Z26" s="217"/>
      <c r="AA26" s="222"/>
      <c r="AB26" s="219"/>
      <c r="AC26" s="219"/>
      <c r="AD26" s="219"/>
      <c r="AE26" s="219"/>
      <c r="AF26" s="219"/>
      <c r="AG26" s="219"/>
      <c r="AH26" s="219"/>
      <c r="AI26" s="219"/>
      <c r="AJ26" s="220"/>
      <c r="AK26" s="217"/>
      <c r="AL26" s="203"/>
      <c r="AM26" s="218"/>
      <c r="AN26" s="218"/>
      <c r="AO26" s="217"/>
      <c r="AP26" s="216"/>
      <c r="AQ26" s="216"/>
      <c r="AR26" s="216"/>
      <c r="AS26" s="216"/>
      <c r="AT26" s="216"/>
      <c r="AU26" s="23"/>
      <c r="AV26" s="30"/>
      <c r="AW26" s="30"/>
      <c r="AX26" s="30"/>
      <c r="AY26" s="30"/>
      <c r="AZ26" s="30"/>
      <c r="BA26" s="30"/>
      <c r="BB26" s="24"/>
      <c r="BC26" s="23"/>
      <c r="BD26" s="30"/>
      <c r="BE26" s="30"/>
      <c r="BF26" s="30"/>
      <c r="BG26" s="30"/>
      <c r="BH26" s="30"/>
      <c r="BI26" s="30"/>
      <c r="BJ26" s="24"/>
      <c r="BK26" s="23"/>
      <c r="BL26" s="30"/>
      <c r="BM26" s="30"/>
      <c r="BN26" s="30"/>
      <c r="BO26" s="30"/>
      <c r="BP26" s="30"/>
      <c r="BQ26" s="30"/>
      <c r="BR26" s="24"/>
    </row>
    <row r="27" spans="1:70">
      <c r="A27" s="224">
        <v>20</v>
      </c>
      <c r="B27" s="224"/>
      <c r="C27" s="224"/>
      <c r="D27" s="224"/>
      <c r="E27" s="224"/>
      <c r="F27" s="61"/>
      <c r="G27" s="61"/>
      <c r="H27" s="61"/>
      <c r="I27" s="223"/>
      <c r="J27" s="222"/>
      <c r="K27" s="222"/>
      <c r="L27" s="222"/>
      <c r="M27" s="221"/>
      <c r="N27" s="221"/>
      <c r="O27" s="221"/>
      <c r="P27" s="221"/>
      <c r="Q27" s="257"/>
      <c r="R27" s="217"/>
      <c r="S27" s="217"/>
      <c r="T27" s="217"/>
      <c r="U27" s="219"/>
      <c r="V27" s="219"/>
      <c r="W27" s="217"/>
      <c r="X27" s="217"/>
      <c r="Y27" s="219"/>
      <c r="Z27" s="217"/>
      <c r="AA27" s="222"/>
      <c r="AB27" s="219"/>
      <c r="AC27" s="219"/>
      <c r="AD27" s="219"/>
      <c r="AE27" s="219"/>
      <c r="AF27" s="219"/>
      <c r="AG27" s="219"/>
      <c r="AH27" s="219"/>
      <c r="AI27" s="219"/>
      <c r="AJ27" s="220"/>
      <c r="AK27" s="217"/>
      <c r="AL27" s="203"/>
      <c r="AM27" s="218"/>
      <c r="AN27" s="218"/>
      <c r="AO27" s="217"/>
      <c r="AP27" s="216"/>
      <c r="AQ27" s="216"/>
      <c r="AR27" s="216"/>
      <c r="AS27" s="216"/>
      <c r="AT27" s="216"/>
      <c r="AU27" s="23"/>
      <c r="AV27" s="30"/>
      <c r="AW27" s="30"/>
      <c r="AX27" s="30"/>
      <c r="AY27" s="30"/>
      <c r="AZ27" s="30"/>
      <c r="BA27" s="30"/>
      <c r="BB27" s="24"/>
      <c r="BC27" s="23"/>
      <c r="BD27" s="30"/>
      <c r="BE27" s="30"/>
      <c r="BF27" s="30"/>
      <c r="BG27" s="30"/>
      <c r="BH27" s="30"/>
      <c r="BI27" s="30"/>
      <c r="BJ27" s="24"/>
      <c r="BK27" s="23"/>
      <c r="BL27" s="30"/>
      <c r="BM27" s="30"/>
      <c r="BN27" s="30"/>
      <c r="BO27" s="30"/>
      <c r="BP27" s="30"/>
      <c r="BQ27" s="30"/>
      <c r="BR27" s="24"/>
    </row>
    <row r="28" spans="1:70">
      <c r="A28" s="224">
        <v>21</v>
      </c>
      <c r="B28" s="224"/>
      <c r="C28" s="224"/>
      <c r="D28" s="224"/>
      <c r="E28" s="224"/>
      <c r="F28" s="61"/>
      <c r="G28" s="61"/>
      <c r="H28" s="61"/>
      <c r="I28" s="223"/>
      <c r="J28" s="222"/>
      <c r="K28" s="222"/>
      <c r="L28" s="222"/>
      <c r="M28" s="221"/>
      <c r="N28" s="221"/>
      <c r="O28" s="221"/>
      <c r="P28" s="221"/>
      <c r="Q28" s="257"/>
      <c r="R28" s="217"/>
      <c r="S28" s="217"/>
      <c r="T28" s="217"/>
      <c r="U28" s="219"/>
      <c r="V28" s="219"/>
      <c r="W28" s="217"/>
      <c r="X28" s="217"/>
      <c r="Y28" s="219"/>
      <c r="Z28" s="217"/>
      <c r="AA28" s="222"/>
      <c r="AB28" s="219"/>
      <c r="AC28" s="219"/>
      <c r="AD28" s="219"/>
      <c r="AE28" s="219"/>
      <c r="AF28" s="219"/>
      <c r="AG28" s="219"/>
      <c r="AH28" s="219"/>
      <c r="AI28" s="219"/>
      <c r="AJ28" s="220"/>
      <c r="AK28" s="217"/>
      <c r="AL28" s="203"/>
      <c r="AM28" s="218"/>
      <c r="AN28" s="218"/>
      <c r="AO28" s="217"/>
      <c r="AP28" s="216"/>
      <c r="AQ28" s="216"/>
      <c r="AR28" s="216"/>
      <c r="AS28" s="216"/>
      <c r="AT28" s="216"/>
      <c r="AU28" s="23"/>
      <c r="AV28" s="30"/>
      <c r="AW28" s="30"/>
      <c r="AX28" s="30"/>
      <c r="AY28" s="30"/>
      <c r="AZ28" s="30"/>
      <c r="BA28" s="30"/>
      <c r="BB28" s="24"/>
      <c r="BC28" s="23"/>
      <c r="BD28" s="30"/>
      <c r="BE28" s="30"/>
      <c r="BF28" s="30"/>
      <c r="BG28" s="30"/>
      <c r="BH28" s="30"/>
      <c r="BI28" s="30"/>
      <c r="BJ28" s="24"/>
      <c r="BK28" s="23"/>
      <c r="BL28" s="30"/>
      <c r="BM28" s="30"/>
      <c r="BN28" s="30"/>
      <c r="BO28" s="30"/>
      <c r="BP28" s="30"/>
      <c r="BQ28" s="30"/>
      <c r="BR28" s="24"/>
    </row>
  </sheetData>
  <mergeCells count="4">
    <mergeCell ref="AU6:BB6"/>
    <mergeCell ref="BC6:BJ6"/>
    <mergeCell ref="BK6:BR6"/>
    <mergeCell ref="AU5:BR5"/>
  </mergeCells>
  <phoneticPr fontId="2" type="noConversion"/>
  <dataValidations xWindow="1114" yWindow="729" count="10">
    <dataValidation type="list" allowBlank="1" showInputMessage="1" showErrorMessage="1" errorTitle="오류 안내" error="다음 중 하나를 선택하여 입력해 주세요." promptTitle="입력 안내" prompt="다음 중 하나를 선택하여 입력해 주세요._x000a_" sqref="AK8:AK28" xr:uid="{C0F89183-1904-4C65-9115-949B50254CB8}">
      <formula1>"최초 기관투자, 최초 납입, 주요 투자조건 결정"</formula1>
    </dataValidation>
    <dataValidation type="list" allowBlank="1" showInputMessage="1" showErrorMessage="1" errorTitle="오류 안내" error="다음 중 하나를 선택하여 입력해 주세요." promptTitle="입력 안내" prompt="다음 중 하나를 선택하여 입력해 주세요._x000a_" sqref="AL8:AL28" xr:uid="{D2F27AF9-3F49-498B-A9CD-365040976FD0}">
      <formula1>"준비, 심사, 공모, 상장, 계획없음"</formula1>
    </dataValidation>
    <dataValidation type="list" allowBlank="1" showInputMessage="1" showErrorMessage="1" errorTitle="오류 안내" error="다음 중 하나를 선택하여 입력해 주세요." promptTitle="입력 안내" prompt="다음 중 하나를 선택하여 입력해 주세요._x000a_" sqref="T8:T28 W8:X28 Z8:Z28" xr:uid="{587ECC89-5497-44FE-98B5-2A1CD300EC62}">
      <formula1>"있음, 없음"</formula1>
    </dataValidation>
    <dataValidation type="list" allowBlank="1" showInputMessage="1" showErrorMessage="1" errorTitle="오류 안내" error="다음 중 하나를 선택하여 입력해 주세요." promptTitle="입력 안내" prompt="다음 중 하나를 선택하여 입력해 주세요." sqref="Q8:Q28" xr:uid="{1AC60F4C-6F53-4FB7-989C-D5BC88BD792B}">
      <formula1>"사업유지, 폐업"</formula1>
    </dataValidation>
    <dataValidation type="list" allowBlank="1" showInputMessage="1" showErrorMessage="1" errorTitle="오류 안내" error="다음 중 하나를 선택하여 입력해 주세요." promptTitle="입력 안내" prompt="다음 중 하나를 선택하여 입력해 주세요._x000a_- 시드(Seed) : 창업조기자금 및 제품개발을 위한 투자 유치(통상 수천~수억원)_x000a_- 시리즈 A : 시제품개발 및 시장 진출 직전까지 받는 투자 유치(통상 5~15억원)_x000a_- 시리즈 B : 제품생산 및 인재채용 등 자금조달을 위한 투자 유치(통상 20~150억 원)_x000a_- 시리즈 C : M&amp;A 및 IPO 직전에 받는 투자 유치(통상 수백억원)" sqref="P8:P28" xr:uid="{6BA6A4A7-36E5-4ED6-A15B-37B5BDD8BF42}">
      <formula1>"시드(Seed), 시리즈 A, 시리즈 B, 시리즈 C"</formula1>
    </dataValidation>
    <dataValidation type="list" allowBlank="1" showInputMessage="1" showErrorMessage="1" errorTitle="오류 안내" error="다음 중 하나를 선택하여 입력해 주세요." promptTitle="입력 안내" prompt="다음 중 하나를 선택하여 입력해 주세요." sqref="O8:O28" xr:uid="{D8F5861C-CB96-4FA4-B475-6C6925577A9F}">
      <formula1>"반도체, 디스플레이, 이차전지, 바이오, 로봇, 방산"</formula1>
    </dataValidation>
    <dataValidation type="list" allowBlank="1" showInputMessage="1" showErrorMessage="1" errorTitle="오류 안내" error="다음 중 하나를 선택하여 입력해 주세요." promptTitle="입력 안내" prompt="다음 중 하나를 선택하여 입력해 주세요." sqref="N8:N28" xr:uid="{82D067AD-AB41-46A2-B8F9-DA0EF256DD00}">
      <formula1>"디지털 테크, 에너지테크, 바이오 헬스, 미래 모빌리티, 융합부품소재, 라이프스타일, 해양, 금융, 문화관광"</formula1>
    </dataValidation>
    <dataValidation type="list" allowBlank="1" showInputMessage="1" showErrorMessage="1" errorTitle="오류 안내" error="우측 한국표준산업분류 대분류표를 확인 후 해당하는 업종을 선택하여 입력해 주세요. 1~20 사이 번호만 입력해 주세요." promptTitle="입력 안내" prompt="우측 한국표준산업분류 대분류표를 확인 후 해당하는 업종을 선택하여 입력해 주세요. 1~20 사이 번호만 입력해 주세요." sqref="M8:M28" xr:uid="{2A69164F-94EF-4ED0-921B-8058DBBF4C28}">
      <formula1>"1, 2, 3, 4, 5, 6, 7, 8, 9, 10, 11, 12, 13, 14, 15, 16, 17, 18, 19, 20"</formula1>
    </dataValidation>
    <dataValidation type="list" allowBlank="1" showInputMessage="1" showErrorMessage="1" errorTitle="오류 안내" error="다음 중 하나를 선택하여 입력해 주세요." promptTitle="입력 안내" prompt="다음 중 하나를 선택하여 입력해 주세요._x000a_" sqref="AO8:AO28" xr:uid="{B8832DF4-E878-4B0A-8088-986FD7827397}">
      <formula1>"일반상장, 기술특례 상장, 성장성 추천, 테슬라 요건, 유니콘 특례, 기타"</formula1>
    </dataValidation>
    <dataValidation type="list" allowBlank="1" showInputMessage="1" showErrorMessage="1" errorTitle="오류 안내" error="다음 중 하나를 선택하여 입력해 주세요." promptTitle="입력 안내" prompt="다음 중 하나를 선택하여 입력해 주세요." sqref="R8:S28" xr:uid="{15F129BD-DE4F-4F4D-9FFF-D283DB413438}">
      <formula1>"서울특별시, 부산광역시, 대구광역시, 인천광역시, 광주광역시, 대전광역시, 울산광역시, 세종특별자치시, 경기도, 강원도, 충청북도, 충청남도, 전라북도, 전라남도, 경상북도, 경상남도, 제주도"</formula1>
    </dataValidation>
  </dataValidations>
  <hyperlinks>
    <hyperlink ref="D10" r:id="rId1" xr:uid="{4F39A4EF-C424-491E-8407-2D65D7571C66}"/>
    <hyperlink ref="C10" r:id="rId2" xr:uid="{2D0CE5FE-20A8-47D6-8B41-EE1E62E7A76E}"/>
    <hyperlink ref="C13" r:id="rId3" xr:uid="{1B5D09E3-71BF-405C-AF16-99DA681F2125}"/>
    <hyperlink ref="E13" r:id="rId4" xr:uid="{D255C8DF-CDC5-4B4B-B59D-AAEDDE5CD254}"/>
    <hyperlink ref="C12" r:id="rId5" xr:uid="{39F79FFA-71FB-49DE-9501-95074A617508}"/>
    <hyperlink ref="E12" r:id="rId6" xr:uid="{4D41A683-B1CF-409C-AA03-A378A54FA737}"/>
    <hyperlink ref="E8" r:id="rId7" xr:uid="{97C0DE06-169F-4382-973A-46B53DCB4C25}"/>
    <hyperlink ref="C9" r:id="rId8" xr:uid="{BF13B633-8F15-4886-8FB8-BB1610E9423E}"/>
    <hyperlink ref="E9" r:id="rId9" xr:uid="{C99CC17B-AA2B-4EFA-A603-8F37F63F34FC}"/>
    <hyperlink ref="C11" r:id="rId10" xr:uid="{23F34FCB-7D62-41A3-A664-D3D77D7F9D14}"/>
    <hyperlink ref="E11" r:id="rId11" xr:uid="{CC155173-E64E-4534-9716-4351EB33ED61}"/>
  </hyperlinks>
  <pageMargins left="0.7" right="0.7" top="0.75" bottom="0.75" header="0.3" footer="0.3"/>
  <pageSetup paperSize="9" scale="16" fitToHeight="0" orientation="landscape" r:id="rId12"/>
  <legacy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6A78B-2E3D-4529-A760-D00F2C94BF5F}">
  <dimension ref="A1:O14"/>
  <sheetViews>
    <sheetView zoomScale="85" zoomScaleNormal="85" workbookViewId="0">
      <selection activeCell="U12" sqref="U12"/>
    </sheetView>
  </sheetViews>
  <sheetFormatPr defaultRowHeight="16.5"/>
  <sheetData>
    <row r="1" spans="1:15" ht="17.25" thickBot="1"/>
    <row r="2" spans="1:15" ht="17.25" customHeight="1">
      <c r="A2" s="73" t="s">
        <v>136</v>
      </c>
      <c r="B2" s="74"/>
      <c r="C2" s="74"/>
      <c r="D2" s="74"/>
      <c r="E2" s="74"/>
      <c r="F2" s="74"/>
      <c r="G2" s="74"/>
      <c r="H2" s="74"/>
      <c r="I2" s="74"/>
      <c r="J2" s="74"/>
      <c r="K2" s="74"/>
      <c r="L2" s="74"/>
      <c r="M2" s="74"/>
      <c r="N2" s="74"/>
      <c r="O2" s="75"/>
    </row>
    <row r="3" spans="1:15" ht="17.25" customHeight="1" thickBot="1">
      <c r="A3" s="76"/>
      <c r="B3" s="77"/>
      <c r="C3" s="77"/>
      <c r="D3" s="77"/>
      <c r="E3" s="77"/>
      <c r="F3" s="77"/>
      <c r="G3" s="77"/>
      <c r="H3" s="77"/>
      <c r="I3" s="77"/>
      <c r="J3" s="77"/>
      <c r="K3" s="77"/>
      <c r="L3" s="77"/>
      <c r="M3" s="77"/>
      <c r="N3" s="77"/>
      <c r="O3" s="78"/>
    </row>
    <row r="6" spans="1:15">
      <c r="A6" t="s">
        <v>137</v>
      </c>
      <c r="H6" t="s">
        <v>139</v>
      </c>
    </row>
    <row r="14" spans="1:15">
      <c r="H14" t="s">
        <v>140</v>
      </c>
    </row>
  </sheetData>
  <mergeCells count="1">
    <mergeCell ref="A2:O3"/>
  </mergeCells>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펀드 조합현황</vt:lpstr>
      <vt:lpstr>피투자기업 현황</vt:lpstr>
      <vt:lpstr>참고자료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지은 손</dc:creator>
  <cp:lastModifiedBy>인동 정</cp:lastModifiedBy>
  <cp:lastPrinted>2026-05-08T08:20:40Z</cp:lastPrinted>
  <dcterms:created xsi:type="dcterms:W3CDTF">2025-04-24T07:21:22Z</dcterms:created>
  <dcterms:modified xsi:type="dcterms:W3CDTF">2026-05-21T01:44:58Z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DRClass">
    <vt:lpwstr>0</vt:lpwstr>
  </property>
  <property fmtid="{D5CDD505-2E9C-101B-9397-08002B2CF9AE}" pid="3" name="FDRSet">
    <vt:lpwstr>manual</vt:lpwstr>
  </property>
</Properties>
</file>